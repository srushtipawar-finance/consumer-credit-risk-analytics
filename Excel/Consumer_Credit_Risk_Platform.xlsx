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_Scorecard" sheetId="1" state="visible" r:id="rId3"/>
    <sheet name="Scorecard_Calibration" sheetId="2" state="visible" r:id="rId4"/>
    <sheet name="Application_Model" sheetId="3" state="visible" r:id="rId5"/>
    <sheet name="Delinquency_Tracker" sheetId="4" state="visible" r:id="rId6"/>
    <sheet name="Vintage_Analysis" sheetId="5" state="visible" r:id="rId7"/>
    <sheet name="Stress_Test" sheetId="6" state="visible" r:id="rId8"/>
    <sheet name="Portfolio_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<sst xmlns="http://schemas.openxmlformats.org/spreadsheetml/2006/main" count="360" uniqueCount="301">
  <si>
    <t xml:space="preserve">CONSUMER CREDIT SCORECARD — FIRST NATIONAL RETAIL BANK</t>
  </si>
  <si>
    <t xml:space="preserve">FICO-Style Scoring Model  |  Score Range: 300–850  |  Analyst: Srushti Mahant Pawar  |  July 2025</t>
  </si>
  <si>
    <t xml:space="preserve">SCORING FACTORS &amp; WEIGHTS</t>
  </si>
  <si>
    <t xml:space="preserve">Factor</t>
  </si>
  <si>
    <t xml:space="preserve">Weight</t>
  </si>
  <si>
    <t xml:space="preserve">Applicant Value</t>
  </si>
  <si>
    <t xml:space="preserve">Score (0–100)</t>
  </si>
  <si>
    <t xml:space="preserve">Weighted Score</t>
  </si>
  <si>
    <t xml:space="preserve">Benchmark</t>
  </si>
  <si>
    <t xml:space="preserve">Notes</t>
  </si>
  <si>
    <t xml:space="preserve">Payment History</t>
  </si>
  <si>
    <t xml:space="preserve">On Time</t>
  </si>
  <si>
    <t xml:space="preserve">No missed payments</t>
  </si>
  <si>
    <t xml:space="preserve">Most important factor — 35% weight</t>
  </si>
  <si>
    <t xml:space="preserve">Credit Utilization</t>
  </si>
  <si>
    <t xml:space="preserve">28%</t>
  </si>
  <si>
    <t xml:space="preserve">Below 30%</t>
  </si>
  <si>
    <t xml:space="preserve">Lower utilization = higher score</t>
  </si>
  <si>
    <t xml:space="preserve">Length of Credit History</t>
  </si>
  <si>
    <t xml:space="preserve">7 Years</t>
  </si>
  <si>
    <t xml:space="preserve">5+ years preferred</t>
  </si>
  <si>
    <t xml:space="preserve">Longer history = lower risk</t>
  </si>
  <si>
    <t xml:space="preserve">Income &amp; Debt-to-Income</t>
  </si>
  <si>
    <t xml:space="preserve">32% DTI</t>
  </si>
  <si>
    <t xml:space="preserve">DTI below 36%</t>
  </si>
  <si>
    <t xml:space="preserve">DTI above 36% raises risk flag</t>
  </si>
  <si>
    <t xml:space="preserve">Employment Stability</t>
  </si>
  <si>
    <t xml:space="preserve">4 Years</t>
  </si>
  <si>
    <t xml:space="preserve">2+ years same employer</t>
  </si>
  <si>
    <t xml:space="preserve">Stable employment reduces default risk</t>
  </si>
  <si>
    <t xml:space="preserve">Credit Mix</t>
  </si>
  <si>
    <t xml:space="preserve">3 Products</t>
  </si>
  <si>
    <t xml:space="preserve">2+ product types</t>
  </si>
  <si>
    <t xml:space="preserve">Mix of cards, loans, mortgage</t>
  </si>
  <si>
    <t xml:space="preserve">TOTAL</t>
  </si>
  <si>
    <t xml:space="preserve">—</t>
  </si>
  <si>
    <t xml:space="preserve">CREDIT SCORE OUTPUT</t>
  </si>
  <si>
    <t xml:space="preserve">Raw Weighted Score:</t>
  </si>
  <si>
    <t xml:space="preserve">Credit Score (300–850):</t>
  </si>
  <si>
    <t xml:space="preserve">Risk Classification:</t>
  </si>
  <si>
    <t xml:space="preserve">Approval Decision:</t>
  </si>
  <si>
    <t xml:space="preserve">Interest Rate Tier:</t>
  </si>
  <si>
    <t xml:space="preserve">Recommended Credit Limit:</t>
  </si>
  <si>
    <t xml:space="preserve">FICO SCORE INTERPRETATION GUIDE</t>
  </si>
  <si>
    <t xml:space="preserve">Score Range</t>
  </si>
  <si>
    <t xml:space="preserve">Classification</t>
  </si>
  <si>
    <t xml:space="preserve">Approval</t>
  </si>
  <si>
    <t xml:space="preserve">Typical Rate</t>
  </si>
  <si>
    <t xml:space="preserve">Credit Limit</t>
  </si>
  <si>
    <t xml:space="preserve">Default Risk</t>
  </si>
  <si>
    <t xml:space="preserve">Population %</t>
  </si>
  <si>
    <t xml:space="preserve">800–850</t>
  </si>
  <si>
    <t xml:space="preserve">Exceptional</t>
  </si>
  <si>
    <t xml:space="preserve">Approve</t>
  </si>
  <si>
    <t xml:space="preserve">6.99%</t>
  </si>
  <si>
    <t xml:space="preserve">$25,000</t>
  </si>
  <si>
    <t xml:space="preserve">0.4%</t>
  </si>
  <si>
    <t xml:space="preserve">~21%</t>
  </si>
  <si>
    <t xml:space="preserve">750–799</t>
  </si>
  <si>
    <t xml:space="preserve">Very Good</t>
  </si>
  <si>
    <t xml:space="preserve">1.2%</t>
  </si>
  <si>
    <t xml:space="preserve">~25%</t>
  </si>
  <si>
    <t xml:space="preserve">700–749</t>
  </si>
  <si>
    <t xml:space="preserve">Good</t>
  </si>
  <si>
    <t xml:space="preserve">9.99%</t>
  </si>
  <si>
    <t xml:space="preserve">$15,000</t>
  </si>
  <si>
    <t xml:space="preserve">2.8%</t>
  </si>
  <si>
    <t xml:space="preserve">670–699</t>
  </si>
  <si>
    <t xml:space="preserve">Fair</t>
  </si>
  <si>
    <t xml:space="preserve">5.1%</t>
  </si>
  <si>
    <t xml:space="preserve">~17%</t>
  </si>
  <si>
    <t xml:space="preserve">620–669</t>
  </si>
  <si>
    <t xml:space="preserve">Below Average</t>
  </si>
  <si>
    <t xml:space="preserve">Conditional</t>
  </si>
  <si>
    <t xml:space="preserve">14.99%</t>
  </si>
  <si>
    <t xml:space="preserve">$7,500</t>
  </si>
  <si>
    <t xml:space="preserve">8–12%</t>
  </si>
  <si>
    <t xml:space="preserve">~12%</t>
  </si>
  <si>
    <t xml:space="preserve">580–619</t>
  </si>
  <si>
    <t xml:space="preserve">Poor</t>
  </si>
  <si>
    <t xml:space="preserve">19.99%</t>
  </si>
  <si>
    <t xml:space="preserve">$2,500</t>
  </si>
  <si>
    <t xml:space="preserve">18%</t>
  </si>
  <si>
    <t xml:space="preserve">~2%</t>
  </si>
  <si>
    <t xml:space="preserve">300–579</t>
  </si>
  <si>
    <t xml:space="preserve">Very Poor</t>
  </si>
  <si>
    <t xml:space="preserve">Decline</t>
  </si>
  <si>
    <t xml:space="preserve">N/A</t>
  </si>
  <si>
    <t xml:space="preserve">$0</t>
  </si>
  <si>
    <t xml:space="preserve">28%+</t>
  </si>
  <si>
    <t xml:space="preserve">MODEL NOTE: Weighted score of 83.35/100 maps to Credit Score 758 (Prime tier). Score formula: 300 + (Weighted Score / 100) × 550. Scores update automatically when applicant values in column C are changed.</t>
  </si>
  <si>
    <t xml:space="preserve">SCORECARD CALIBRATION TABLE — CUT-OFF ANALYSIS</t>
  </si>
  <si>
    <t xml:space="preserve">Approval Rate and Default Rate by Credit Score Band  |  First National Retail Bank</t>
  </si>
  <si>
    <t xml:space="preserve">Credit Score Band</t>
  </si>
  <si>
    <t xml:space="preserve">% of Applicants</t>
  </si>
  <si>
    <t xml:space="preserve">Approval Rate</t>
  </si>
  <si>
    <t xml:space="preserve">Exp. Default Rate</t>
  </si>
  <si>
    <t xml:space="preserve">Risk Classification</t>
  </si>
  <si>
    <t xml:space="preserve">Deep Subprime</t>
  </si>
  <si>
    <t xml:space="preserve">Subprime</t>
  </si>
  <si>
    <t xml:space="preserve">Near Subprime</t>
  </si>
  <si>
    <t xml:space="preserve">620–649</t>
  </si>
  <si>
    <t xml:space="preserve">Near Prime</t>
  </si>
  <si>
    <t xml:space="preserve">650–669</t>
  </si>
  <si>
    <t xml:space="preserve">Prime Entry</t>
  </si>
  <si>
    <t xml:space="preserve">Prime</t>
  </si>
  <si>
    <t xml:space="preserve">Super Prime</t>
  </si>
  <si>
    <t xml:space="preserve">Elite</t>
  </si>
  <si>
    <t xml:space="preserve">NOTE: Cut-off score of 670 maximises approval rate while keeping expected default rate below 6%. Recommended operational cut-off for standard loan products.</t>
  </si>
  <si>
    <t xml:space="preserve">LOAN APPLICATION SCORING MODEL — FIRST NATIONAL RETAIL BANK</t>
  </si>
  <si>
    <t xml:space="preserve">APPLICANT INFORMATION — ENTER DATA BELOW</t>
  </si>
  <si>
    <t xml:space="preserve">Applicant Name:</t>
  </si>
  <si>
    <t xml:space="preserve">John Smith</t>
  </si>
  <si>
    <t xml:space="preserve">Annual Income ($):</t>
  </si>
  <si>
    <t xml:space="preserve">Monthly Debt Payments ($):</t>
  </si>
  <si>
    <t xml:space="preserve">Credit Score:</t>
  </si>
  <si>
    <t xml:space="preserve">Years of Credit History:</t>
  </si>
  <si>
    <t xml:space="preserve">Years at Current Employer:</t>
  </si>
  <si>
    <t xml:space="preserve">Number of Credit Products:</t>
  </si>
  <si>
    <t xml:space="preserve">Payment History — On Time (%):</t>
  </si>
  <si>
    <t xml:space="preserve">Loan Amount Requested ($):</t>
  </si>
  <si>
    <t xml:space="preserve">Loan Product:</t>
  </si>
  <si>
    <t xml:space="preserve">Personal Loan</t>
  </si>
  <si>
    <t xml:space="preserve">CALCULATED RISK METRICS</t>
  </si>
  <si>
    <t xml:space="preserve">Debt-to-Income Ratio:</t>
  </si>
  <si>
    <t xml:space="preserve">Loan-to-Income Ratio:</t>
  </si>
  <si>
    <t xml:space="preserve">Monthly Payment Est. ($):</t>
  </si>
  <si>
    <t xml:space="preserve">Payment-to-Income Ratio:</t>
  </si>
  <si>
    <t xml:space="preserve">CREDIT DECISION OUTPUT</t>
  </si>
  <si>
    <t xml:space="preserve">DTI Assessment:</t>
  </si>
  <si>
    <t xml:space="preserve">Decision:</t>
  </si>
  <si>
    <t xml:space="preserve">Interest Rate:</t>
  </si>
  <si>
    <t xml:space="preserve">Approved Credit Limit ($):</t>
  </si>
  <si>
    <t xml:space="preserve">RISK METRICS</t>
  </si>
  <si>
    <t xml:space="preserve">Est. Probability of Default:</t>
  </si>
  <si>
    <t xml:space="preserve">Est. Loss Given Default:</t>
  </si>
  <si>
    <t xml:space="preserve">Exposure at Default:</t>
  </si>
  <si>
    <t xml:space="preserve">Estimated Expected Loss:</t>
  </si>
  <si>
    <t xml:space="preserve">Risk Flag:</t>
  </si>
  <si>
    <t xml:space="preserve">DELINQUENCY TRACKER — 24-MONTH TREND ANALYSIS</t>
  </si>
  <si>
    <t xml:space="preserve">Monthly Delinquency Rate by Product  |  First National Retail Bank  |  Aug 2023 – Jul 2025</t>
  </si>
  <si>
    <t xml:space="preserve">Product / Month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</si>
  <si>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</si>
  <si>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</si>
  <si>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</si>
  <si>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</si>
  <si>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</si>
  <si>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</si>
  <si>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</si>
  <si>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</si>
  <si>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</si>
  <si>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</si>
  <si>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</si>
  <si>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</si>
  <si>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</si>
  <si>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</si>
  <si>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</si>
  <si>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</si>
  <si>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</si>
  <si>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</si>
  <si>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</si>
  <si>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</si>
  <si>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</si>
  <si>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</si>
  <si>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</si>
  <si>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</si>
  <si>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Credit Card</t>
  </si>
  <si>
    <t xml:space="preserve">Auto Loan</t>
  </si>
  <si>
    <t xml:space="preserve">Warning Threshold</t>
  </si>
  <si>
    <t xml:space="preserve">Average (All Products)</t>
  </si>
  <si>
    <t xml:space="preserve">TREND ALERT: Credit card delinquency reached 7.1% in Jul-25 — 78% above the 4.0% threshold. Auto loan delinquency at 6.5% — 63% above threshold. Immediate underwriting review recommended for both products.</t>
  </si>
  <si>
    <t xml:space="preserve">VINTAGE ANALYSIS — CUMULATIVE DEFAULT RATE BY ORIGINATION COHORT</t>
  </si>
  <si>
    <t xml:space="preserve">8 Quarterly Cohorts Tracked at Month 3, 6, 9, 12, 18, and 24  |  First National Retail Bank</t>
  </si>
  <si>
    <t xml:space="preserve">Origination Cohort</t>
  </si>
  <si>
    <t xml:space="preserve">Month 3</t>
  </si>
  <si>
    <t xml:space="preserve">Month 6</t>
  </si>
  <si>
    <t xml:space="preserve">Month 9</t>
  </si>
  <si>
    <t xml:space="preserve">Month 12</t>
  </si>
  <si>
    <t xml:space="preserve">Month 18</t>
  </si>
  <si>
    <t xml:space="preserve">Month 24</t>
  </si>
  <si>
    <t xml:space="preserve">Risk Assessment</t>
  </si>
  <si>
    <t xml:space="preserve">Q1 2022</t>
  </si>
  <si>
    <t xml:space="preserve">Normal</t>
  </si>
  <si>
    <t xml:space="preserve">Q2 2022</t>
  </si>
  <si>
    <t xml:space="preserve">Q3 2022</t>
  </si>
  <si>
    <t xml:space="preserve">HIGH RISK ⚠</t>
  </si>
  <si>
    <t xml:space="preserve">Q4 2022</t>
  </si>
  <si>
    <t xml:space="preserve">Watch</t>
  </si>
  <si>
    <t xml:space="preserve">Q1 2023</t>
  </si>
  <si>
    <t xml:space="preserve">Q2 2023</t>
  </si>
  <si>
    <t xml:space="preserve">Q3 2023</t>
  </si>
  <si>
    <t xml:space="preserve">Monitoring</t>
  </si>
  <si>
    <t xml:space="preserve">Q4 2023</t>
  </si>
  <si>
    <t xml:space="preserve">KEY FINDING: Q3 2022 cohort shows 8.3% cumulative 24-month default rate — 43% above the portfolio average of 5.8%. Loans originated in this quarter had looser underwriting standards. Immediate review and early intervention recommended.</t>
  </si>
  <si>
    <t xml:space="preserve">VINTAGE PERFORMANCE SUMMARY</t>
  </si>
  <si>
    <t xml:space="preserve">Metric</t>
  </si>
  <si>
    <t xml:space="preserve">Portfolio Average</t>
  </si>
  <si>
    <t xml:space="preserve">Excl. incomplete cohorts</t>
  </si>
  <si>
    <t xml:space="preserve">Peak Default (Q3 2022)</t>
  </si>
  <si>
    <t xml:space="preserve">Highest-risk vintage</t>
  </si>
  <si>
    <t xml:space="preserve">Best Vintage (Q1 2022)</t>
  </si>
  <si>
    <t xml:space="preserve">Lowest 24M default rate</t>
  </si>
  <si>
    <t xml:space="preserve">STRESS TEST — CCAR-STYLE SCENARIO ANALYSIS</t>
  </si>
  <si>
    <t xml:space="preserve">Portfolio Expected Loss Under Base, Mild Recession, and Severe Recession Scenarios</t>
  </si>
  <si>
    <t xml:space="preserve">MACROECONOMIC ASSUMPTIONS</t>
  </si>
  <si>
    <t xml:space="preserve">Variable</t>
  </si>
  <si>
    <t xml:space="preserve">Base Case</t>
  </si>
  <si>
    <t xml:space="preserve">Mild Recession</t>
  </si>
  <si>
    <t xml:space="preserve">Severe Recession</t>
  </si>
  <si>
    <t xml:space="preserve">Source</t>
  </si>
  <si>
    <t xml:space="preserve">Unemployment Rate</t>
  </si>
  <si>
    <t xml:space="preserve">4.2%</t>
  </si>
  <si>
    <t xml:space="preserve">6.5%</t>
  </si>
  <si>
    <t xml:space="preserve">9.8%</t>
  </si>
  <si>
    <t xml:space="preserve">Federal Reserve Scenario</t>
  </si>
  <si>
    <t xml:space="preserve">GDP Growth</t>
  </si>
  <si>
    <t xml:space="preserve">2.1%</t>
  </si>
  <si>
    <t xml:space="preserve">-0.8%</t>
  </si>
  <si>
    <t xml:space="preserve">-3.2%</t>
  </si>
  <si>
    <t xml:space="preserve">Fed DFAST Projection</t>
  </si>
  <si>
    <t xml:space="preserve">Home Price Change</t>
  </si>
  <si>
    <t xml:space="preserve">3.5%</t>
  </si>
  <si>
    <t xml:space="preserve">-5.0%</t>
  </si>
  <si>
    <t xml:space="preserve">-15.0%</t>
  </si>
  <si>
    <t xml:space="preserve">Income Growth</t>
  </si>
  <si>
    <t xml:space="preserve">-3.5%</t>
  </si>
  <si>
    <t xml:space="preserve">-12.0%</t>
  </si>
  <si>
    <t xml:space="preserve">BLS Projection</t>
  </si>
  <si>
    <t xml:space="preserve">Interest Rate Change</t>
  </si>
  <si>
    <t xml:space="preserve">0.0%</t>
  </si>
  <si>
    <t xml:space="preserve">+1.5%</t>
  </si>
  <si>
    <t xml:space="preserve">+3.0%</t>
  </si>
  <si>
    <t xml:space="preserve">FOMC Guidance</t>
  </si>
  <si>
    <t xml:space="preserve">PD STRESS MULTIPLIERS BY PRODUCT</t>
  </si>
  <si>
    <t xml:space="preserve">Product</t>
  </si>
  <si>
    <t xml:space="preserve">Base PD</t>
  </si>
  <si>
    <t xml:space="preserve">Mild Multiplier</t>
  </si>
  <si>
    <t xml:space="preserve">Severe Multiplier</t>
  </si>
  <si>
    <t xml:space="preserve">Rationale</t>
  </si>
  <si>
    <t xml:space="preserve">6.8%</t>
  </si>
  <si>
    <t xml:space="preserve">1.45x</t>
  </si>
  <si>
    <t xml:space="preserve">2.1x</t>
  </si>
  <si>
    <t xml:space="preserve">Income sensitive — unemployment drives defaults</t>
  </si>
  <si>
    <t xml:space="preserve">9.2%</t>
  </si>
  <si>
    <t xml:space="preserve">1.55x</t>
  </si>
  <si>
    <t xml:space="preserve">2.35x</t>
  </si>
  <si>
    <t xml:space="preserve">Highest recession sensitivity — unsecured, revolving</t>
  </si>
  <si>
    <t xml:space="preserve">5.4%</t>
  </si>
  <si>
    <t xml:space="preserve">1.35x</t>
  </si>
  <si>
    <t xml:space="preserve">1.85x</t>
  </si>
  <si>
    <t xml:space="preserve">Collateral provides partial protection</t>
  </si>
  <si>
    <t xml:space="preserve">EXPECTED LOSS BY SCENARIO ($M)</t>
  </si>
  <si>
    <t xml:space="preserve">EAD ($M)</t>
  </si>
  <si>
    <t xml:space="preserve">Base EL ($M)</t>
  </si>
  <si>
    <t xml:space="preserve">Mild EL ($M)</t>
  </si>
  <si>
    <t xml:space="preserve">Severe EL ($M)</t>
  </si>
  <si>
    <t xml:space="preserve">TOTAL PORTFOLIO</t>
  </si>
  <si>
    <t xml:space="preserve">CAPITAL RESERVE REQUIREMENT</t>
  </si>
  <si>
    <t xml:space="preserve">Base Case Capital Reserve (8%):</t>
  </si>
  <si>
    <t xml:space="preserve">Mild Recession Reserve:</t>
  </si>
  <si>
    <t xml:space="preserve">Severe Recession Reserve:</t>
  </si>
  <si>
    <t xml:space="preserve">Additional Capital Needed (Severe vs Base):</t>
  </si>
  <si>
    <t xml:space="preserve">EL SCENARIO COMPARISON</t>
  </si>
  <si>
    <t xml:space="preserve">Base Case EL:</t>
  </si>
  <si>
    <t xml:space="preserve">Baseline</t>
  </si>
  <si>
    <t xml:space="preserve">Mild Recession EL:</t>
  </si>
  <si>
    <t xml:space="preserve">vs Base</t>
  </si>
  <si>
    <t xml:space="preserve">Severe Recession EL:</t>
  </si>
  <si>
    <t xml:space="preserve">NOTE: Severe Recession scenario increases Expected Loss by 119% from base case ($12.8M to $28.0M). Portfolio is highly sensitive to macroeconomic stress. Capital reserve recommendation: increase by $1.22M above base case.</t>
  </si>
  <si>
    <t xml:space="preserve">PORTFOLIO EXECUTIVE SUMMARY — FIRST NATIONAL RETAIL BANK</t>
  </si>
  <si>
    <t xml:space="preserve">Consumer Credit Risk Dashboard  |  Risk Committee Report  |  July 2025</t>
  </si>
  <si>
    <t xml:space="preserve">Report Date:</t>
  </si>
  <si>
    <t xml:space="preserve">July 2025</t>
  </si>
  <si>
    <t xml:space="preserve">Analyst:</t>
  </si>
  <si>
    <t xml:space="preserve">Srushti Mahant Pawar</t>
  </si>
  <si>
    <t xml:space="preserve">Department:</t>
  </si>
  <si>
    <t xml:space="preserve">Consumer Credit Risk</t>
  </si>
  <si>
    <t xml:space="preserve">KEY PORTFOLIO METRICS</t>
  </si>
  <si>
    <t xml:space="preserve">Current Quarter</t>
  </si>
  <si>
    <t xml:space="preserve">Prior Quarter</t>
  </si>
  <si>
    <t xml:space="preserve">Variance</t>
  </si>
  <si>
    <t xml:space="preserve">Total Portfolio Exposure</t>
  </si>
  <si>
    <t xml:space="preserve">Total Active Borrowers</t>
  </si>
  <si>
    <t xml:space="preserve">Approval Rate (YTD)</t>
  </si>
  <si>
    <t xml:space="preserve">Average Credit Score</t>
  </si>
  <si>
    <t xml:space="preserve">30+ Day Delinquency Rate</t>
  </si>
  <si>
    <t xml:space="preserve">90+ Day Delinquency Rate</t>
  </si>
  <si>
    <t xml:space="preserve">Net Charge-Off Rate (YTD)</t>
  </si>
  <si>
    <t xml:space="preserve">Base Case Expected Loss</t>
  </si>
  <si>
    <t xml:space="preserve">Severe Scenario EL</t>
  </si>
  <si>
    <t xml:space="preserve">Q3 2022 Vintage Default</t>
  </si>
  <si>
    <t xml:space="preserve">NOTE: For delinquency, charge-offs and EL — positive variance = deterioration (unfavorable). For approval rate — negative variance = tightening (review required).</t>
  </si>
  <si>
    <t xml:space="preserve">RISK COMMITTEE ASSESSMENT</t>
  </si>
  <si>
    <t xml:space="preserve">Overall Portfolio Risk:</t>
  </si>
  <si>
    <t xml:space="preserve">ELEVATED — MONITORING REQUIRED</t>
  </si>
  <si>
    <t xml:space="preserve">Primary Concern:</t>
  </si>
  <si>
    <t xml:space="preserve">Auto loan and credit card delinquency rising. Q3 2022 vintage underperforming at 8.3% vs 5.8% portfolio average.</t>
  </si>
  <si>
    <t xml:space="preserve">Recommended Action:</t>
  </si>
  <si>
    <t xml:space="preserve">Tighten underwriting cut-off to 680+. Increase loss reserves by 15%. Initiate early intervention for Q3 2022 cohort borrowers 60+ DPD.</t>
  </si>
  <si>
    <t xml:space="preserve">Next Review Date:</t>
  </si>
  <si>
    <t xml:space="preserve">October 2025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</si>
</sst>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"/>
    <numFmt numFmtId="167" formatCode="0"/>
    <numFmt numFmtId="168" formatCode="0.0%"/>
    <numFmt numFmtId="169" formatCode="\$#,##0"/>
    <numFmt numFmtId="170" formatCode="\$#,##0.00"/>
    <numFmt numFmtId="171" formatCode="\$#,##0"/>
    <numFmt numFmtId="172" formatCode="\$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843C0C"/>
      <name val="Calibri"/>
      <family val="0"/>
      <charset val="1"/>
    </font>
    <font>
      <sz val="10"/>
      <color rgb="FF9C0006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i val="true"/>
      <sz val="10"/>
      <color rgb="FF9C5700"/>
      <name val="Calibri"/>
      <family val="0"/>
      <charset val="1"/>
    </font>
    <font>
      <b val="true"/>
      <sz val="10"/>
      <color rgb="FF185FA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843C0C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i val="true"/>
      <sz val="10"/>
      <color rgb="FF9C0006"/>
      <name val="Calibri"/>
      <family val="0"/>
      <charset val="1"/>
    </font>
    <font>
      <sz val="10"/>
      <color rgb="FF9C5700"/>
      <name val="Calibri"/>
      <family val="0"/>
      <charset val="1"/>
    </font>
    <font>
      <b val="true"/>
      <sz val="12"/>
      <color rgb="FF843C0C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6E4F0"/>
        <bgColor rgb="FFDDEBF7"/>
      </patternFill>
    </fill>
    <fill>
      <patternFill patternType="solid">
        <fgColor rgb="FFEBF3FB"/>
        <bgColor rgb="FFDDEBF7"/>
      </patternFill>
    </fill>
    <fill>
      <patternFill patternType="solid">
        <fgColor rgb="FF2E4057"/>
        <bgColor rgb="FF1F3864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F3FB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color rgb="FF27622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5700"/>
      <rgbColor rgb="FF800080"/>
      <rgbColor rgb="FF1E7145"/>
      <rgbColor rgb="FFBFBFBF"/>
      <rgbColor rgb="FF808080"/>
      <rgbColor rgb="FF9999FF"/>
      <rgbColor rgb="FF7030A0"/>
      <rgbColor rgb="FFFCE4D6"/>
      <rgbColor rgb="FFDDEBF7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36C09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97D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 t="s">
        <v>10</v>
      </c>
      <c r="B6" s="7" t="n">
        <v>0.35</v>
      </c>
      <c r="C6" s="8" t="s">
        <v>11</v>
      </c>
      <c r="D6" s="9" t="n">
        <v>95</v>
      </c>
      <c r="E6" s="10" t="n">
        <f aca="false">B6*D6</f>
        <v>33.25</v>
      </c>
      <c r="F6" s="11" t="s">
        <v>12</v>
      </c>
      <c r="G6" s="12" t="s">
        <v>13</v>
      </c>
    </row>
    <row r="7" customFormat="false" ht="15" hidden="false" customHeight="true" outlineLevel="0" collapsed="false">
      <c r="A7" s="13" t="s">
        <v>14</v>
      </c>
      <c r="B7" s="14" t="n">
        <v>0.3</v>
      </c>
      <c r="C7" s="15" t="s">
        <v>15</v>
      </c>
      <c r="D7" s="16" t="n">
        <v>80</v>
      </c>
      <c r="E7" s="17" t="n">
        <f aca="false">B7*D7</f>
        <v>24</v>
      </c>
      <c r="F7" s="18" t="s">
        <v>16</v>
      </c>
      <c r="G7" s="19" t="s">
        <v>17</v>
      </c>
    </row>
    <row r="8" customFormat="false" ht="15" hidden="false" customHeight="true" outlineLevel="0" collapsed="false">
      <c r="A8" s="6" t="s">
        <v>18</v>
      </c>
      <c r="B8" s="7" t="n">
        <v>0.15</v>
      </c>
      <c r="C8" s="8" t="s">
        <v>19</v>
      </c>
      <c r="D8" s="9" t="n">
        <v>75</v>
      </c>
      <c r="E8" s="10" t="n">
        <f aca="false">B8*D8</f>
        <v>11.25</v>
      </c>
      <c r="F8" s="11" t="s">
        <v>20</v>
      </c>
      <c r="G8" s="12" t="s">
        <v>21</v>
      </c>
    </row>
    <row r="9" customFormat="false" ht="15" hidden="false" customHeight="true" outlineLevel="0" collapsed="false">
      <c r="A9" s="13" t="s">
        <v>22</v>
      </c>
      <c r="B9" s="14" t="n">
        <v>0.1</v>
      </c>
      <c r="C9" s="15" t="s">
        <v>23</v>
      </c>
      <c r="D9" s="16" t="n">
        <v>70</v>
      </c>
      <c r="E9" s="17" t="n">
        <f aca="false">B9*D9</f>
        <v>7</v>
      </c>
      <c r="F9" s="18" t="s">
        <v>24</v>
      </c>
      <c r="G9" s="19" t="s">
        <v>25</v>
      </c>
    </row>
    <row r="10" customFormat="false" ht="15" hidden="false" customHeight="true" outlineLevel="0" collapsed="false">
      <c r="A10" s="6" t="s">
        <v>26</v>
      </c>
      <c r="B10" s="7" t="n">
        <v>0.05</v>
      </c>
      <c r="C10" s="8" t="s">
        <v>27</v>
      </c>
      <c r="D10" s="9" t="n">
        <v>85</v>
      </c>
      <c r="E10" s="10" t="n">
        <f aca="false">B10*D10</f>
        <v>4.25</v>
      </c>
      <c r="F10" s="11" t="s">
        <v>28</v>
      </c>
      <c r="G10" s="12" t="s">
        <v>29</v>
      </c>
    </row>
    <row r="11" customFormat="false" ht="15" hidden="false" customHeight="true" outlineLevel="0" collapsed="false">
      <c r="A11" s="13" t="s">
        <v>30</v>
      </c>
      <c r="B11" s="14" t="n">
        <v>0.05</v>
      </c>
      <c r="C11" s="15" t="s">
        <v>31</v>
      </c>
      <c r="D11" s="16" t="n">
        <v>72</v>
      </c>
      <c r="E11" s="17" t="n">
        <f aca="false">B11*D11</f>
        <v>3.6</v>
      </c>
      <c r="F11" s="18" t="s">
        <v>32</v>
      </c>
      <c r="G11" s="19" t="s">
        <v>33</v>
      </c>
    </row>
    <row r="12" customFormat="false" ht="15" hidden="false" customHeight="true" outlineLevel="0" collapsed="false">
      <c r="A12" s="20" t="s">
        <v>34</v>
      </c>
      <c r="B12" s="21" t="n">
        <f aca="false">SUM(B6:B11)</f>
        <v>1</v>
      </c>
      <c r="C12" s="5" t="s">
        <v>35</v>
      </c>
      <c r="D12" s="5" t="s">
        <v>35</v>
      </c>
      <c r="E12" s="22" t="n">
        <f aca="false">SUM(E6:E11)</f>
        <v>83.35</v>
      </c>
      <c r="F12" s="5"/>
      <c r="G12" s="5"/>
    </row>
    <row r="13" customFormat="false" ht="6" hidden="false" customHeight="true" outlineLevel="0" collapsed="false"/>
    <row r="14" customFormat="false" ht="18" hidden="false" customHeight="true" outlineLevel="0" collapsed="false">
      <c r="A14" s="4" t="s">
        <v>36</v>
      </c>
      <c r="B14" s="4"/>
      <c r="C14" s="4"/>
      <c r="D14" s="4"/>
      <c r="E14" s="4"/>
      <c r="F14" s="4"/>
      <c r="G14" s="4"/>
    </row>
    <row r="15" customFormat="false" ht="15" hidden="false" customHeight="true" outlineLevel="0" collapsed="false">
      <c r="A15" s="23" t="s">
        <v>37</v>
      </c>
      <c r="B15" s="24" t="n">
        <f aca="false">E12</f>
        <v>83.35</v>
      </c>
      <c r="C15" s="24"/>
      <c r="D15" s="24"/>
      <c r="E15" s="24"/>
      <c r="F15" s="24"/>
      <c r="G15" s="24"/>
    </row>
    <row r="16" customFormat="false" ht="17.25" hidden="false" customHeight="true" outlineLevel="0" collapsed="false">
      <c r="A16" s="25" t="s">
        <v>38</v>
      </c>
      <c r="B16" s="26" t="n">
        <f aca="false">ROUND(300+(E12/100)*550,0)</f>
        <v>758</v>
      </c>
      <c r="C16" s="26"/>
      <c r="D16" s="26"/>
      <c r="E16" s="26"/>
      <c r="F16" s="26"/>
      <c r="G16" s="26"/>
    </row>
    <row r="17" customFormat="false" ht="15" hidden="false" customHeight="true" outlineLevel="0" collapsed="false">
      <c r="A17" s="23" t="s">
        <v>39</v>
      </c>
      <c r="B17" s="27" t="str">
        <f aca="false">IF(B16&gt;=750,"Prime",IF(B16&gt;=670,"Near Prime",IF(B16&gt;=580,"Subprime","Deep Subprime")))</f>
        <v>Prime</v>
      </c>
      <c r="C17" s="27"/>
      <c r="D17" s="27"/>
      <c r="E17" s="27"/>
      <c r="F17" s="27"/>
      <c r="G17" s="27"/>
    </row>
    <row r="18" customFormat="false" ht="15" hidden="false" customHeight="true" outlineLevel="0" collapsed="false">
      <c r="A18" s="25" t="s">
        <v>40</v>
      </c>
      <c r="B18" s="28" t="str">
        <f aca="false">IF(B16&gt;=670,"Approve",IF(B16&gt;=620,"Conditional Approval","Decline"))</f>
        <v>Approve</v>
      </c>
      <c r="C18" s="28"/>
      <c r="D18" s="28"/>
      <c r="E18" s="28"/>
      <c r="F18" s="28"/>
      <c r="G18" s="28"/>
    </row>
    <row r="19" customFormat="false" ht="15" hidden="false" customHeight="true" outlineLevel="0" collapsed="false">
      <c r="A19" s="23" t="s">
        <v>41</v>
      </c>
      <c r="B19" s="29" t="str">
        <f aca="false">IF(B16&gt;=750,"Tier 1 — 6.99%",IF(B16&gt;=670,"Tier 2 — 9.99%",IF(B16&gt;=620,"Tier 3 — 14.99%","Tier 4 — 19.99%")))</f>
        <v>Tier 1 — 6.99%</v>
      </c>
      <c r="C19" s="29"/>
      <c r="D19" s="29"/>
      <c r="E19" s="29"/>
      <c r="F19" s="29"/>
      <c r="G19" s="29"/>
    </row>
    <row r="20" customFormat="false" ht="15" hidden="false" customHeight="true" outlineLevel="0" collapsed="false">
      <c r="A20" s="25" t="s">
        <v>42</v>
      </c>
      <c r="B20" s="30" t="str">
        <f aca="false">IF(B16&gt;=750,"$25,000",IF(B16&gt;=670,"$15,000",IF(B16&gt;=620,"$7,500","$2,500")))</f>
        <v>$25,000</v>
      </c>
      <c r="C20" s="30"/>
      <c r="D20" s="30"/>
      <c r="E20" s="30"/>
      <c r="F20" s="30"/>
      <c r="G20" s="30"/>
    </row>
    <row r="22" customFormat="false" ht="6" hidden="false" customHeight="true" outlineLevel="0" collapsed="false"/>
    <row r="23" customFormat="false" ht="15" hidden="false" customHeight="true" outlineLevel="0" collapsed="false">
      <c r="A23" s="31" t="s">
        <v>43</v>
      </c>
      <c r="B23" s="31"/>
      <c r="C23" s="31"/>
      <c r="D23" s="31"/>
      <c r="E23" s="31"/>
      <c r="F23" s="31"/>
      <c r="G23" s="31"/>
    </row>
    <row r="24" customFormat="false" ht="15" hidden="false" customHeight="true" outlineLevel="0" collapsed="false">
      <c r="A24" s="5" t="s">
        <v>44</v>
      </c>
      <c r="B24" s="5" t="s">
        <v>45</v>
      </c>
      <c r="C24" s="5" t="s">
        <v>46</v>
      </c>
      <c r="D24" s="5" t="s">
        <v>47</v>
      </c>
      <c r="E24" s="5" t="s">
        <v>48</v>
      </c>
      <c r="F24" s="5" t="s">
        <v>49</v>
      </c>
      <c r="G24" s="5" t="s">
        <v>50</v>
      </c>
    </row>
    <row r="25" customFormat="false" ht="18" hidden="false" customHeight="true" outlineLevel="0" collapsed="false">
      <c r="A25" s="32" t="s">
        <v>51</v>
      </c>
      <c r="B25" s="32" t="s">
        <v>52</v>
      </c>
      <c r="C25" s="32" t="s">
        <v>53</v>
      </c>
      <c r="D25" s="8" t="s">
        <v>54</v>
      </c>
      <c r="E25" s="8" t="s">
        <v>55</v>
      </c>
      <c r="F25" s="8" t="s">
        <v>56</v>
      </c>
      <c r="G25" s="33" t="s">
        <v>57</v>
      </c>
    </row>
    <row r="26" customFormat="false" ht="18" hidden="false" customHeight="true" outlineLevel="0" collapsed="false">
      <c r="A26" s="32" t="s">
        <v>58</v>
      </c>
      <c r="B26" s="32" t="s">
        <v>59</v>
      </c>
      <c r="C26" s="32" t="s">
        <v>53</v>
      </c>
      <c r="D26" s="8" t="s">
        <v>54</v>
      </c>
      <c r="E26" s="8" t="s">
        <v>55</v>
      </c>
      <c r="F26" s="8" t="s">
        <v>60</v>
      </c>
      <c r="G26" s="33" t="s">
        <v>61</v>
      </c>
    </row>
    <row r="27" customFormat="false" ht="18" hidden="false" customHeight="true" outlineLevel="0" collapsed="false">
      <c r="A27" s="9" t="s">
        <v>62</v>
      </c>
      <c r="B27" s="9" t="s">
        <v>63</v>
      </c>
      <c r="C27" s="9" t="s">
        <v>53</v>
      </c>
      <c r="D27" s="8" t="s">
        <v>64</v>
      </c>
      <c r="E27" s="8" t="s">
        <v>65</v>
      </c>
      <c r="F27" s="8" t="s">
        <v>66</v>
      </c>
      <c r="G27" s="33" t="s">
        <v>57</v>
      </c>
    </row>
    <row r="28" customFormat="false" ht="18" hidden="false" customHeight="true" outlineLevel="0" collapsed="false">
      <c r="A28" s="9" t="s">
        <v>67</v>
      </c>
      <c r="B28" s="9" t="s">
        <v>68</v>
      </c>
      <c r="C28" s="9" t="s">
        <v>53</v>
      </c>
      <c r="D28" s="8" t="s">
        <v>64</v>
      </c>
      <c r="E28" s="8" t="s">
        <v>65</v>
      </c>
      <c r="F28" s="8" t="s">
        <v>69</v>
      </c>
      <c r="G28" s="33" t="s">
        <v>70</v>
      </c>
    </row>
    <row r="29" customFormat="false" ht="18" hidden="false" customHeight="true" outlineLevel="0" collapsed="false">
      <c r="A29" s="34" t="s">
        <v>71</v>
      </c>
      <c r="B29" s="34" t="s">
        <v>72</v>
      </c>
      <c r="C29" s="34" t="s">
        <v>73</v>
      </c>
      <c r="D29" s="8" t="s">
        <v>74</v>
      </c>
      <c r="E29" s="8" t="s">
        <v>75</v>
      </c>
      <c r="F29" s="8" t="s">
        <v>76</v>
      </c>
      <c r="G29" s="33" t="s">
        <v>77</v>
      </c>
    </row>
    <row r="30" customFormat="false" ht="18" hidden="false" customHeight="true" outlineLevel="0" collapsed="false">
      <c r="A30" s="35" t="s">
        <v>78</v>
      </c>
      <c r="B30" s="35" t="s">
        <v>79</v>
      </c>
      <c r="C30" s="35" t="s">
        <v>73</v>
      </c>
      <c r="D30" s="8" t="s">
        <v>80</v>
      </c>
      <c r="E30" s="8" t="s">
        <v>81</v>
      </c>
      <c r="F30" s="36" t="s">
        <v>82</v>
      </c>
      <c r="G30" s="33" t="s">
        <v>83</v>
      </c>
    </row>
    <row r="31" customFormat="false" ht="18" hidden="false" customHeight="true" outlineLevel="0" collapsed="false">
      <c r="A31" s="37" t="s">
        <v>84</v>
      </c>
      <c r="B31" s="37" t="s">
        <v>85</v>
      </c>
      <c r="C31" s="37" t="s">
        <v>86</v>
      </c>
      <c r="D31" s="8" t="s">
        <v>87</v>
      </c>
      <c r="E31" s="8" t="s">
        <v>88</v>
      </c>
      <c r="F31" s="36" t="s">
        <v>89</v>
      </c>
      <c r="G31" s="33" t="s">
        <v>83</v>
      </c>
    </row>
    <row r="33" customFormat="false" ht="30" hidden="false" customHeight="true" outlineLevel="0" collapsed="false">
      <c r="A33" s="38" t="s">
        <v>90</v>
      </c>
      <c r="B33" s="38"/>
      <c r="C33" s="38"/>
      <c r="D33" s="38"/>
      <c r="E33" s="38"/>
      <c r="F33" s="38"/>
      <c r="G33" s="38"/>
    </row>
  </sheetData>
  <mergeCells count="12">
    <mergeCell ref="A1:G1"/>
    <mergeCell ref="A2:G2"/>
    <mergeCell ref="A4:G4"/>
    <mergeCell ref="A14:G14"/>
    <mergeCell ref="B15:G15"/>
    <mergeCell ref="B16:G16"/>
    <mergeCell ref="B17:G17"/>
    <mergeCell ref="B18:G18"/>
    <mergeCell ref="B19:G19"/>
    <mergeCell ref="B20:G20"/>
    <mergeCell ref="A23:G23"/>
    <mergeCell ref="A33:G33"/>
  </mergeCells>
  <conditionalFormatting sqref="B17">
    <cfRule type="expression" priority="2" aboveAverage="0" equalAverage="0" bottom="0" percent="0" rank="0" text="" dxfId="0">
      <formula>B17="Prime"</formula>
    </cfRule>
    <cfRule type="expression" priority="3" aboveAverage="0" equalAverage="0" bottom="0" percent="0" rank="0" text="" dxfId="1">
      <formula>B17="Near Prime"</formula>
    </cfRule>
    <cfRule type="expression" priority="4" aboveAverage="0" equalAverage="0" bottom="0" percent="0" rank="0" text="" dxfId="2">
      <formula>OR(B17="Subprime",B17="Deep Subprime")</formula>
    </cfRule>
  </conditionalFormatting>
  <conditionalFormatting sqref="B18">
    <cfRule type="expression" priority="5" aboveAverage="0" equalAverage="0" bottom="0" percent="0" rank="0" text="" dxfId="0">
      <formula>B18="Approve"</formula>
    </cfRule>
    <cfRule type="expression" priority="6" aboveAverage="0" equalAverage="0" bottom="0" percent="0" rank="0" text="" dxfId="1">
      <formula>B18="Conditional Approval"</formula>
    </cfRule>
    <cfRule type="expression" priority="7" aboveAverage="0" equalAverage="0" bottom="0" percent="0" rank="0" text="" dxfId="2">
      <formula>B18="Decline"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27.75" hidden="false" customHeight="true" outlineLevel="0" collapsed="false">
      <c r="A1" s="2" t="s">
        <v>91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92</v>
      </c>
      <c r="B2" s="3"/>
      <c r="C2" s="3"/>
      <c r="D2" s="3"/>
      <c r="E2" s="3"/>
      <c r="F2" s="3"/>
    </row>
    <row r="3" customFormat="false" ht="6" hidden="false" customHeight="true" outlineLevel="0" collapsed="false"/>
    <row r="4" customFormat="false" ht="15" hidden="false" customHeight="true" outlineLevel="0" collapsed="false">
      <c r="A4" s="5" t="s">
        <v>93</v>
      </c>
      <c r="B4" s="5" t="s">
        <v>44</v>
      </c>
      <c r="C4" s="5" t="s">
        <v>94</v>
      </c>
      <c r="D4" s="5" t="s">
        <v>95</v>
      </c>
      <c r="E4" s="5" t="s">
        <v>96</v>
      </c>
      <c r="F4" s="5" t="s">
        <v>97</v>
      </c>
    </row>
    <row r="5" customFormat="false" ht="15" hidden="false" customHeight="true" outlineLevel="0" collapsed="false">
      <c r="A5" s="25" t="s">
        <v>98</v>
      </c>
      <c r="B5" s="8" t="s">
        <v>84</v>
      </c>
      <c r="C5" s="39" t="n">
        <v>0.08</v>
      </c>
      <c r="D5" s="39" t="n">
        <v>0</v>
      </c>
      <c r="E5" s="39" t="n">
        <v>0.285</v>
      </c>
      <c r="F5" s="37" t="s">
        <v>86</v>
      </c>
    </row>
    <row r="6" customFormat="false" ht="15" hidden="false" customHeight="true" outlineLevel="0" collapsed="false">
      <c r="A6" s="23" t="s">
        <v>99</v>
      </c>
      <c r="B6" s="15" t="s">
        <v>78</v>
      </c>
      <c r="C6" s="40" t="n">
        <v>0.12</v>
      </c>
      <c r="D6" s="40" t="n">
        <v>0.15</v>
      </c>
      <c r="E6" s="40" t="n">
        <v>0.182</v>
      </c>
      <c r="F6" s="34" t="s">
        <v>73</v>
      </c>
    </row>
    <row r="7" customFormat="false" ht="15" hidden="false" customHeight="true" outlineLevel="0" collapsed="false">
      <c r="A7" s="25" t="s">
        <v>100</v>
      </c>
      <c r="B7" s="8" t="s">
        <v>101</v>
      </c>
      <c r="C7" s="39" t="n">
        <v>0.15</v>
      </c>
      <c r="D7" s="39" t="n">
        <v>0.45</v>
      </c>
      <c r="E7" s="39" t="n">
        <v>0.124</v>
      </c>
      <c r="F7" s="34" t="s">
        <v>73</v>
      </c>
    </row>
    <row r="8" customFormat="false" ht="15" hidden="false" customHeight="true" outlineLevel="0" collapsed="false">
      <c r="A8" s="23" t="s">
        <v>102</v>
      </c>
      <c r="B8" s="15" t="s">
        <v>103</v>
      </c>
      <c r="C8" s="40" t="n">
        <v>0.18</v>
      </c>
      <c r="D8" s="40" t="n">
        <v>0.65</v>
      </c>
      <c r="E8" s="40" t="n">
        <v>0.086</v>
      </c>
      <c r="F8" s="34" t="s">
        <v>73</v>
      </c>
    </row>
    <row r="9" customFormat="false" ht="15" hidden="false" customHeight="true" outlineLevel="0" collapsed="false">
      <c r="A9" s="25" t="s">
        <v>104</v>
      </c>
      <c r="B9" s="8" t="s">
        <v>67</v>
      </c>
      <c r="C9" s="39" t="n">
        <v>0.2</v>
      </c>
      <c r="D9" s="39" t="n">
        <v>0.82</v>
      </c>
      <c r="E9" s="39" t="n">
        <v>0.051</v>
      </c>
      <c r="F9" s="32" t="s">
        <v>53</v>
      </c>
    </row>
    <row r="10" customFormat="false" ht="15" hidden="false" customHeight="true" outlineLevel="0" collapsed="false">
      <c r="A10" s="23" t="s">
        <v>105</v>
      </c>
      <c r="B10" s="15" t="s">
        <v>62</v>
      </c>
      <c r="C10" s="40" t="n">
        <v>0.15</v>
      </c>
      <c r="D10" s="40" t="n">
        <v>0.91</v>
      </c>
      <c r="E10" s="40" t="n">
        <v>0.028</v>
      </c>
      <c r="F10" s="32" t="s">
        <v>53</v>
      </c>
    </row>
    <row r="11" customFormat="false" ht="15" hidden="false" customHeight="true" outlineLevel="0" collapsed="false">
      <c r="A11" s="25" t="s">
        <v>106</v>
      </c>
      <c r="B11" s="8" t="s">
        <v>58</v>
      </c>
      <c r="C11" s="39" t="n">
        <v>0.08</v>
      </c>
      <c r="D11" s="39" t="n">
        <v>0.97</v>
      </c>
      <c r="E11" s="39" t="n">
        <v>0.012</v>
      </c>
      <c r="F11" s="32" t="s">
        <v>53</v>
      </c>
    </row>
    <row r="12" customFormat="false" ht="15" hidden="false" customHeight="true" outlineLevel="0" collapsed="false">
      <c r="A12" s="23" t="s">
        <v>107</v>
      </c>
      <c r="B12" s="15" t="s">
        <v>51</v>
      </c>
      <c r="C12" s="40" t="n">
        <v>0.04</v>
      </c>
      <c r="D12" s="40" t="n">
        <v>0.99</v>
      </c>
      <c r="E12" s="40" t="n">
        <v>0.004</v>
      </c>
      <c r="F12" s="32" t="s">
        <v>53</v>
      </c>
    </row>
    <row r="13" customFormat="false" ht="36" hidden="false" customHeight="true" outlineLevel="0" collapsed="false">
      <c r="A13" s="41" t="s">
        <v>108</v>
      </c>
      <c r="B13" s="41"/>
      <c r="C13" s="41"/>
      <c r="D13" s="41"/>
      <c r="E13" s="41"/>
      <c r="F13" s="41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4" min="3" style="1" width="20"/>
  </cols>
  <sheetData>
    <row r="1" customFormat="false" ht="27.75" hidden="false" customHeight="true" outlineLevel="0" collapsed="false">
      <c r="A1" s="2" t="s">
        <v>109</v>
      </c>
      <c r="B1" s="2"/>
      <c r="C1" s="2"/>
      <c r="D1" s="2"/>
    </row>
    <row r="2" customFormat="false" ht="6" hidden="false" customHeight="true" outlineLevel="0" collapsed="false"/>
    <row r="3" customFormat="false" ht="18" hidden="false" customHeight="true" outlineLevel="0" collapsed="false">
      <c r="A3" s="31" t="s">
        <v>110</v>
      </c>
      <c r="B3" s="31"/>
      <c r="C3" s="31"/>
      <c r="D3" s="31"/>
    </row>
    <row r="4" customFormat="false" ht="15" hidden="false" customHeight="true" outlineLevel="0" collapsed="false">
      <c r="A4" s="25" t="s">
        <v>111</v>
      </c>
      <c r="B4" s="42" t="s">
        <v>112</v>
      </c>
      <c r="C4" s="43"/>
      <c r="D4" s="43"/>
    </row>
    <row r="5" customFormat="false" ht="15" hidden="false" customHeight="true" outlineLevel="0" collapsed="false">
      <c r="A5" s="23" t="s">
        <v>113</v>
      </c>
      <c r="B5" s="44" t="n">
        <v>65000</v>
      </c>
      <c r="C5" s="45"/>
      <c r="D5" s="45"/>
    </row>
    <row r="6" customFormat="false" ht="15" hidden="false" customHeight="true" outlineLevel="0" collapsed="false">
      <c r="A6" s="25" t="s">
        <v>114</v>
      </c>
      <c r="B6" s="46" t="n">
        <v>1200</v>
      </c>
      <c r="C6" s="43"/>
      <c r="D6" s="43"/>
    </row>
    <row r="7" customFormat="false" ht="15" hidden="false" customHeight="true" outlineLevel="0" collapsed="false">
      <c r="A7" s="23" t="s">
        <v>115</v>
      </c>
      <c r="B7" s="47" t="n">
        <v>685</v>
      </c>
      <c r="C7" s="45"/>
      <c r="D7" s="45"/>
    </row>
    <row r="8" customFormat="false" ht="15" hidden="false" customHeight="true" outlineLevel="0" collapsed="false">
      <c r="A8" s="25" t="s">
        <v>116</v>
      </c>
      <c r="B8" s="48" t="n">
        <v>6</v>
      </c>
      <c r="C8" s="43"/>
      <c r="D8" s="43"/>
    </row>
    <row r="9" customFormat="false" ht="15" hidden="false" customHeight="true" outlineLevel="0" collapsed="false">
      <c r="A9" s="23" t="s">
        <v>117</v>
      </c>
      <c r="B9" s="47" t="n">
        <v>3</v>
      </c>
      <c r="C9" s="45"/>
      <c r="D9" s="45"/>
    </row>
    <row r="10" customFormat="false" ht="15" hidden="false" customHeight="true" outlineLevel="0" collapsed="false">
      <c r="A10" s="25" t="s">
        <v>118</v>
      </c>
      <c r="B10" s="48" t="n">
        <v>3</v>
      </c>
      <c r="C10" s="43"/>
      <c r="D10" s="43"/>
    </row>
    <row r="11" customFormat="false" ht="15" hidden="false" customHeight="true" outlineLevel="0" collapsed="false">
      <c r="A11" s="23" t="s">
        <v>119</v>
      </c>
      <c r="B11" s="49" t="n">
        <v>0.94</v>
      </c>
      <c r="C11" s="45"/>
      <c r="D11" s="45"/>
    </row>
    <row r="12" customFormat="false" ht="15" hidden="false" customHeight="true" outlineLevel="0" collapsed="false">
      <c r="A12" s="25" t="s">
        <v>120</v>
      </c>
      <c r="B12" s="46" t="n">
        <v>15000</v>
      </c>
      <c r="C12" s="43"/>
      <c r="D12" s="43"/>
    </row>
    <row r="13" customFormat="false" ht="15" hidden="false" customHeight="true" outlineLevel="0" collapsed="false">
      <c r="A13" s="23" t="s">
        <v>121</v>
      </c>
      <c r="B13" s="50" t="s">
        <v>122</v>
      </c>
      <c r="C13" s="45"/>
      <c r="D13" s="45"/>
    </row>
    <row r="14" customFormat="false" ht="6" hidden="false" customHeight="true" outlineLevel="0" collapsed="false"/>
    <row r="15" customFormat="false" ht="18" hidden="false" customHeight="true" outlineLevel="0" collapsed="false">
      <c r="A15" s="31" t="s">
        <v>123</v>
      </c>
      <c r="B15" s="31"/>
      <c r="C15" s="31"/>
      <c r="D15" s="31"/>
    </row>
    <row r="16" customFormat="false" ht="15" hidden="false" customHeight="true" outlineLevel="0" collapsed="false">
      <c r="A16" s="25" t="s">
        <v>124</v>
      </c>
      <c r="B16" s="51" t="n">
        <f aca="false">(B6*12)/B5</f>
        <v>0.221538461538462</v>
      </c>
      <c r="C16" s="43"/>
      <c r="D16" s="43"/>
    </row>
    <row r="17" customFormat="false" ht="15" hidden="false" customHeight="true" outlineLevel="0" collapsed="false">
      <c r="A17" s="23" t="s">
        <v>125</v>
      </c>
      <c r="B17" s="52" t="n">
        <f aca="false">B12/B5</f>
        <v>0.230769230769231</v>
      </c>
      <c r="C17" s="45"/>
      <c r="D17" s="45"/>
    </row>
    <row r="18" customFormat="false" ht="15" hidden="false" customHeight="true" outlineLevel="0" collapsed="false">
      <c r="A18" s="25" t="s">
        <v>126</v>
      </c>
      <c r="B18" s="53" t="n">
        <f aca="false">PMT(0.0999/12,60,-B12)</f>
        <v>318.631869568423</v>
      </c>
      <c r="C18" s="43"/>
      <c r="D18" s="43"/>
    </row>
    <row r="19" customFormat="false" ht="15" hidden="false" customHeight="true" outlineLevel="0" collapsed="false">
      <c r="A19" s="23" t="s">
        <v>127</v>
      </c>
      <c r="B19" s="52" t="n">
        <f aca="false">B18/(B5/12)</f>
        <v>0.0588243451510934</v>
      </c>
      <c r="C19" s="45"/>
      <c r="D19" s="45"/>
    </row>
    <row r="20" customFormat="false" ht="6" hidden="false" customHeight="true" outlineLevel="0" collapsed="false"/>
    <row r="21" customFormat="false" ht="18" hidden="false" customHeight="true" outlineLevel="0" collapsed="false">
      <c r="A21" s="4" t="s">
        <v>128</v>
      </c>
      <c r="B21" s="4"/>
      <c r="C21" s="4"/>
      <c r="D21" s="4"/>
    </row>
    <row r="22" customFormat="false" ht="17.25" hidden="false" customHeight="true" outlineLevel="0" collapsed="false">
      <c r="A22" s="25" t="s">
        <v>115</v>
      </c>
      <c r="B22" s="26" t="n">
        <f aca="false">B7</f>
        <v>685</v>
      </c>
      <c r="C22" s="26"/>
      <c r="D22" s="26"/>
    </row>
    <row r="23" customFormat="false" ht="15" hidden="false" customHeight="true" outlineLevel="0" collapsed="false">
      <c r="A23" s="23" t="s">
        <v>39</v>
      </c>
      <c r="B23" s="27" t="str">
        <f aca="false">IF(B7&gt;=750,"Prime",IF(B7&gt;=670,"Near Prime",IF(B7&gt;=580,"Subprime","Deep Subprime")))</f>
        <v>Near Prime</v>
      </c>
      <c r="C23" s="27"/>
      <c r="D23" s="27"/>
    </row>
    <row r="24" customFormat="false" ht="15" hidden="false" customHeight="true" outlineLevel="0" collapsed="false">
      <c r="A24" s="25" t="s">
        <v>129</v>
      </c>
      <c r="B24" s="30" t="str">
        <f aca="false">IF(B16&lt;=0.36,"Acceptable",IF(B16&lt;=0.43,"Elevated","High Risk"))</f>
        <v>Acceptable</v>
      </c>
      <c r="C24" s="30"/>
      <c r="D24" s="30"/>
    </row>
    <row r="25" customFormat="false" ht="15" hidden="false" customHeight="true" outlineLevel="0" collapsed="false">
      <c r="A25" s="23" t="s">
        <v>130</v>
      </c>
      <c r="B25" s="54" t="str">
        <f aca="false">IF(AND(B7&gt;=670,B16&lt;=0.43),"APPROVED",IF(AND(B7&gt;=620,B16&lt;=0.43),"CONDITIONAL APPROVAL","DECLINED"))</f>
        <v>APPROVED</v>
      </c>
      <c r="C25" s="54"/>
      <c r="D25" s="54"/>
    </row>
    <row r="26" customFormat="false" ht="15" hidden="false" customHeight="true" outlineLevel="0" collapsed="false">
      <c r="A26" s="25" t="s">
        <v>131</v>
      </c>
      <c r="B26" s="30" t="str">
        <f aca="false">IF(B7&gt;=750,"6.99%",IF(B7&gt;=670,"9.99%",IF(B7&gt;=620,"14.99%","19.99%")))</f>
        <v>9.99%</v>
      </c>
      <c r="C26" s="30"/>
      <c r="D26" s="30"/>
    </row>
    <row r="27" customFormat="false" ht="15" hidden="false" customHeight="true" outlineLevel="0" collapsed="false">
      <c r="A27" s="23" t="s">
        <v>132</v>
      </c>
      <c r="B27" s="55" t="n">
        <f aca="false">IF(B25="APPROVED",MIN(B12,B5*0.4),IF(B25="CONDITIONAL APPROVAL",MIN(B12,B5*0.2),0))</f>
        <v>15000</v>
      </c>
      <c r="C27" s="55"/>
      <c r="D27" s="55"/>
    </row>
    <row r="28" customFormat="false" ht="6" hidden="false" customHeight="true" outlineLevel="0" collapsed="false"/>
    <row r="29" customFormat="false" ht="15" hidden="false" customHeight="true" outlineLevel="0" collapsed="false">
      <c r="A29" s="31" t="s">
        <v>133</v>
      </c>
      <c r="B29" s="31"/>
      <c r="C29" s="31"/>
      <c r="D29" s="31"/>
    </row>
    <row r="30" customFormat="false" ht="18" hidden="false" customHeight="true" outlineLevel="0" collapsed="false">
      <c r="A30" s="25" t="s">
        <v>134</v>
      </c>
      <c r="B30" s="56" t="n">
        <f aca="false">IF(B7&gt;=750,0.012,IF(B7&gt;=700,0.028,IF(B7&gt;=670,0.051,IF(B7&gt;=620,0.086,IF(B7&gt;=580,0.182,0.285)))))</f>
        <v>0.051</v>
      </c>
      <c r="C30" s="56"/>
      <c r="D30" s="56"/>
    </row>
    <row r="31" customFormat="false" ht="18" hidden="false" customHeight="true" outlineLevel="0" collapsed="false">
      <c r="A31" s="23" t="s">
        <v>135</v>
      </c>
      <c r="B31" s="57" t="n">
        <f aca="false">IF(B13="Credit Card",0.75,IF(B13="Auto Loan",0.35,0.45))</f>
        <v>0.45</v>
      </c>
      <c r="C31" s="57"/>
      <c r="D31" s="57"/>
    </row>
    <row r="32" customFormat="false" ht="18" hidden="false" customHeight="true" outlineLevel="0" collapsed="false">
      <c r="A32" s="25" t="s">
        <v>136</v>
      </c>
      <c r="B32" s="58" t="n">
        <f aca="false">B12</f>
        <v>15000</v>
      </c>
      <c r="C32" s="58"/>
      <c r="D32" s="58"/>
    </row>
    <row r="33" customFormat="false" ht="18" hidden="false" customHeight="true" outlineLevel="0" collapsed="false">
      <c r="A33" s="23" t="s">
        <v>137</v>
      </c>
      <c r="B33" s="59" t="n">
        <f aca="false">B30*B31*B32</f>
        <v>344.25</v>
      </c>
      <c r="C33" s="59"/>
      <c r="D33" s="59"/>
    </row>
    <row r="34" customFormat="false" ht="18" hidden="false" customHeight="true" outlineLevel="0" collapsed="false">
      <c r="A34" s="25" t="s">
        <v>138</v>
      </c>
      <c r="B34" s="28" t="str">
        <f aca="false">IF(B30&gt;=0.1,"HIGH RISK — Refer to Senior Underwriter",IF(B30&gt;=0.05,"ELEVATED — Enhanced Review Required","STANDARD — Normal Processing"))</f>
        <v>ELEVATED — Enhanced Review Required</v>
      </c>
      <c r="C34" s="28"/>
      <c r="D34" s="28"/>
    </row>
  </sheetData>
  <mergeCells count="16">
    <mergeCell ref="A1:D1"/>
    <mergeCell ref="A3:D3"/>
    <mergeCell ref="A15:D15"/>
    <mergeCell ref="A21:D21"/>
    <mergeCell ref="B22:D22"/>
    <mergeCell ref="B23:D23"/>
    <mergeCell ref="B24:D24"/>
    <mergeCell ref="B25:D25"/>
    <mergeCell ref="B26:D26"/>
    <mergeCell ref="B27:D27"/>
    <mergeCell ref="A29:D29"/>
    <mergeCell ref="B30:D30"/>
    <mergeCell ref="B31:D31"/>
    <mergeCell ref="B32:D32"/>
    <mergeCell ref="B33:D33"/>
    <mergeCell ref="B34:D34"/>
  </mergeCells>
  <conditionalFormatting sqref="B23">
    <cfRule type="expression" priority="2" aboveAverage="0" equalAverage="0" bottom="0" percent="0" rank="0" text="" dxfId="0">
      <formula>B23="Prime"</formula>
    </cfRule>
    <cfRule type="expression" priority="3" aboveAverage="0" equalAverage="0" bottom="0" percent="0" rank="0" text="" dxfId="1">
      <formula>B23="Near Prime"</formula>
    </cfRule>
    <cfRule type="expression" priority="4" aboveAverage="0" equalAverage="0" bottom="0" percent="0" rank="0" text="" dxfId="2">
      <formula>OR(B23="Subprime",B23="Deep Subprime")</formula>
    </cfRule>
  </conditionalFormatting>
  <conditionalFormatting sqref="B25">
    <cfRule type="expression" priority="5" aboveAverage="0" equalAverage="0" bottom="0" percent="0" rank="0" text="" dxfId="0">
      <formula>B25="APPROVED"</formula>
    </cfRule>
    <cfRule type="expression" priority="6" aboveAverage="0" equalAverage="0" bottom="0" percent="0" rank="0" text="" dxfId="1">
      <formula>B25="CONDITIONAL APPROVAL"</formula>
    </cfRule>
    <cfRule type="expression" priority="7" aboveAverage="0" equalAverage="0" bottom="0" percent="0" rank="0" text="" dxfId="2">
      <formula>B25="DECLINED"</formula>
    </cfRule>
  </conditionalFormatting>
  <conditionalFormatting sqref="B34">
    <cfRule type="expression" priority="8" aboveAverage="0" equalAverage="0" bottom="0" percent="0" rank="0" text="" dxfId="2">
      <formula>ISNUMBER(SEARCH("HIGH",B34))</formula>
    </cfRule>
    <cfRule type="expression" priority="9" aboveAverage="0" equalAverage="0" bottom="0" percent="0" rank="0" text="" dxfId="1">
      <formula>ISNUMBER(SEARCH("ELEVATED",B34))</formula>
    </cfRule>
    <cfRule type="expression" priority="10" aboveAverage="0" equalAverage="0" bottom="0" percent="0" rank="0" text="" dxfId="0">
      <formula>ISNUMBER(SEARCH("STANDARD",B34))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6C09"/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6" min="2" style="1" width="9"/>
  </cols>
  <sheetData>
    <row r="1" customFormat="false" ht="27.7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true" outlineLevel="0" collapsed="false">
      <c r="A2" s="3" t="s">
        <v>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6" hidden="false" customHeight="true" outlineLevel="0" collapsed="false"/>
    <row r="4" customFormat="false" ht="15" hidden="false" customHeight="true" outlineLevel="0" collapsed="false">
      <c r="A4" s="5" t="s">
        <v>141</v>
      </c>
      <c r="B4" s="60" t="s">
        <v>142</v>
      </c>
      <c r="C4" s="60" t="s">
        <v>143</v>
      </c>
      <c r="D4" s="60" t="s">
        <v>144</v>
      </c>
      <c r="E4" s="60" t="s">
        <v>145</v>
      </c>
      <c r="F4" s="60" t="s">
        <v>146</v>
      </c>
      <c r="G4" s="60" t="s">
        <v>147</v>
      </c>
      <c r="H4" s="60" t="s">
        <v>148</v>
      </c>
      <c r="I4" s="60" t="s">
        <v>149</v>
      </c>
      <c r="J4" s="60" t="s">
        <v>150</v>
      </c>
      <c r="K4" s="60" t="s">
        <v>151</v>
      </c>
      <c r="L4" s="60" t="s">
        <v>152</v>
      </c>
      <c r="M4" s="60" t="s">
        <v>153</v>
      </c>
      <c r="N4" s="60" t="s">
        <v>154</v>
      </c>
      <c r="O4" s="60" t="s">
        <v>155</v>
      </c>
      <c r="P4" s="60" t="s">
        <v>156</v>
      </c>
      <c r="Q4" s="60" t="s">
        <v>157</v>
      </c>
      <c r="R4" s="60" t="s">
        <v>158</v>
      </c>
      <c r="S4" s="60" t="s">
        <v>159</v>
      </c>
      <c r="T4" s="60" t="s">
        <v>160</v>
      </c>
      <c r="U4" s="60" t="s">
        <v>161</v>
      </c>
      <c r="V4" s="60" t="s">
        <v>162</v>
      </c>
      <c r="W4" s="60" t="s">
        <v>163</v>
      </c>
      <c r="X4" s="60" t="s">
        <v>164</v>
      </c>
      <c r="Y4" s="60" t="s">
        <v>165</v>
      </c>
    </row>
    <row r="5" customFormat="false" ht="15" hidden="false" customHeight="true" outlineLevel="0" collapsed="false">
      <c r="A5" s="25" t="s">
        <v>122</v>
      </c>
      <c r="B5" s="61" t="n">
        <v>0.021</v>
      </c>
      <c r="C5" s="61" t="n">
        <v>0.019</v>
      </c>
      <c r="D5" s="61" t="n">
        <v>0.022</v>
      </c>
      <c r="E5" s="61" t="n">
        <v>0.024</v>
      </c>
      <c r="F5" s="61" t="n">
        <v>0.023</v>
      </c>
      <c r="G5" s="61" t="n">
        <v>0.025</v>
      </c>
      <c r="H5" s="61" t="n">
        <v>0.027</v>
      </c>
      <c r="I5" s="61" t="n">
        <v>0.026</v>
      </c>
      <c r="J5" s="61" t="n">
        <v>0.028</v>
      </c>
      <c r="K5" s="61" t="n">
        <v>0.029</v>
      </c>
      <c r="L5" s="61" t="n">
        <v>0.031</v>
      </c>
      <c r="M5" s="61" t="n">
        <v>0.033</v>
      </c>
      <c r="N5" s="61" t="n">
        <v>0.03</v>
      </c>
      <c r="O5" s="61" t="n">
        <v>0.032</v>
      </c>
      <c r="P5" s="61" t="n">
        <v>0.034</v>
      </c>
      <c r="Q5" s="61" t="n">
        <v>0.035</v>
      </c>
      <c r="R5" s="61" t="n">
        <v>0.033</v>
      </c>
      <c r="S5" s="61" t="n">
        <v>0.036</v>
      </c>
      <c r="T5" s="61" t="n">
        <v>0.038</v>
      </c>
      <c r="U5" s="61" t="n">
        <v>0.037</v>
      </c>
      <c r="V5" s="61" t="n">
        <v>0.039</v>
      </c>
      <c r="W5" s="61" t="n">
        <v>0.04</v>
      </c>
      <c r="X5" s="61" t="n">
        <v>0.038</v>
      </c>
      <c r="Y5" s="61" t="n">
        <v>0.041</v>
      </c>
    </row>
    <row r="6" customFormat="false" ht="15" hidden="false" customHeight="true" outlineLevel="0" collapsed="false">
      <c r="A6" s="23" t="s">
        <v>166</v>
      </c>
      <c r="B6" s="62" t="n">
        <v>0.031</v>
      </c>
      <c r="C6" s="62" t="n">
        <v>0.029</v>
      </c>
      <c r="D6" s="62" t="n">
        <v>0.033</v>
      </c>
      <c r="E6" s="62" t="n">
        <v>0.035</v>
      </c>
      <c r="F6" s="62" t="n">
        <v>0.038</v>
      </c>
      <c r="G6" s="62" t="n">
        <v>0.04</v>
      </c>
      <c r="H6" s="62" t="n">
        <v>0.042</v>
      </c>
      <c r="I6" s="62" t="n">
        <v>0.041</v>
      </c>
      <c r="J6" s="62" t="n">
        <v>0.044</v>
      </c>
      <c r="K6" s="62" t="n">
        <v>0.047</v>
      </c>
      <c r="L6" s="62" t="n">
        <v>0.049</v>
      </c>
      <c r="M6" s="62" t="n">
        <v>0.052</v>
      </c>
      <c r="N6" s="62" t="n">
        <v>0.05</v>
      </c>
      <c r="O6" s="62" t="n">
        <v>0.053</v>
      </c>
      <c r="P6" s="62" t="n">
        <v>0.055</v>
      </c>
      <c r="Q6" s="62" t="n">
        <v>0.058</v>
      </c>
      <c r="R6" s="62" t="n">
        <v>0.056</v>
      </c>
      <c r="S6" s="62" t="n">
        <v>0.059</v>
      </c>
      <c r="T6" s="62" t="n">
        <v>0.061</v>
      </c>
      <c r="U6" s="62" t="n">
        <v>0.063</v>
      </c>
      <c r="V6" s="62" t="n">
        <v>0.065</v>
      </c>
      <c r="W6" s="62" t="n">
        <v>0.068</v>
      </c>
      <c r="X6" s="62" t="n">
        <v>0.066</v>
      </c>
      <c r="Y6" s="62" t="n">
        <v>0.071</v>
      </c>
    </row>
    <row r="7" customFormat="false" ht="15" hidden="false" customHeight="true" outlineLevel="0" collapsed="false">
      <c r="A7" s="25" t="s">
        <v>167</v>
      </c>
      <c r="B7" s="61" t="n">
        <v>0.018</v>
      </c>
      <c r="C7" s="61" t="n">
        <v>0.017</v>
      </c>
      <c r="D7" s="61" t="n">
        <v>0.019</v>
      </c>
      <c r="E7" s="61" t="n">
        <v>0.021</v>
      </c>
      <c r="F7" s="61" t="n">
        <v>0.02</v>
      </c>
      <c r="G7" s="61" t="n">
        <v>0.022</v>
      </c>
      <c r="H7" s="61" t="n">
        <v>0.025</v>
      </c>
      <c r="I7" s="61" t="n">
        <v>0.027</v>
      </c>
      <c r="J7" s="61" t="n">
        <v>0.03</v>
      </c>
      <c r="K7" s="61" t="n">
        <v>0.033</v>
      </c>
      <c r="L7" s="61" t="n">
        <v>0.036</v>
      </c>
      <c r="M7" s="61" t="n">
        <v>0.04</v>
      </c>
      <c r="N7" s="61" t="n">
        <v>0.038</v>
      </c>
      <c r="O7" s="61" t="n">
        <v>0.042</v>
      </c>
      <c r="P7" s="61" t="n">
        <v>0.045</v>
      </c>
      <c r="Q7" s="61" t="n">
        <v>0.048</v>
      </c>
      <c r="R7" s="61" t="n">
        <v>0.046</v>
      </c>
      <c r="S7" s="61" t="n">
        <v>0.05</v>
      </c>
      <c r="T7" s="61" t="n">
        <v>0.053</v>
      </c>
      <c r="U7" s="61" t="n">
        <v>0.056</v>
      </c>
      <c r="V7" s="61" t="n">
        <v>0.059</v>
      </c>
      <c r="W7" s="61" t="n">
        <v>0.062</v>
      </c>
      <c r="X7" s="61" t="n">
        <v>0.06</v>
      </c>
      <c r="Y7" s="61" t="n">
        <v>0.065</v>
      </c>
    </row>
    <row r="8" customFormat="false" ht="15" hidden="false" customHeight="true" outlineLevel="0" collapsed="false">
      <c r="A8" s="63" t="s">
        <v>168</v>
      </c>
      <c r="B8" s="64" t="n">
        <v>0.04</v>
      </c>
      <c r="C8" s="64" t="n">
        <v>0.04</v>
      </c>
      <c r="D8" s="64" t="n">
        <v>0.04</v>
      </c>
      <c r="E8" s="64" t="n">
        <v>0.04</v>
      </c>
      <c r="F8" s="64" t="n">
        <v>0.04</v>
      </c>
      <c r="G8" s="64" t="n">
        <v>0.04</v>
      </c>
      <c r="H8" s="64" t="n">
        <v>0.04</v>
      </c>
      <c r="I8" s="64" t="n">
        <v>0.04</v>
      </c>
      <c r="J8" s="64" t="n">
        <v>0.04</v>
      </c>
      <c r="K8" s="64" t="n">
        <v>0.04</v>
      </c>
      <c r="L8" s="64" t="n">
        <v>0.04</v>
      </c>
      <c r="M8" s="64" t="n">
        <v>0.04</v>
      </c>
      <c r="N8" s="64" t="n">
        <v>0.04</v>
      </c>
      <c r="O8" s="64" t="n">
        <v>0.04</v>
      </c>
      <c r="P8" s="64" t="n">
        <v>0.04</v>
      </c>
      <c r="Q8" s="64" t="n">
        <v>0.04</v>
      </c>
      <c r="R8" s="64" t="n">
        <v>0.04</v>
      </c>
      <c r="S8" s="64" t="n">
        <v>0.04</v>
      </c>
      <c r="T8" s="64" t="n">
        <v>0.04</v>
      </c>
      <c r="U8" s="64" t="n">
        <v>0.04</v>
      </c>
      <c r="V8" s="64" t="n">
        <v>0.04</v>
      </c>
      <c r="W8" s="64" t="n">
        <v>0.04</v>
      </c>
      <c r="X8" s="64" t="n">
        <v>0.04</v>
      </c>
      <c r="Y8" s="64" t="n">
        <v>0.04</v>
      </c>
    </row>
    <row r="9" customFormat="false" ht="15" hidden="false" customHeight="true" outlineLevel="0" collapsed="false">
      <c r="A9" s="65" t="s">
        <v>169</v>
      </c>
      <c r="B9" s="66" t="n">
        <f aca="false">AVERAGE(B5:B7)</f>
        <v>0.0233333333333333</v>
      </c>
      <c r="C9" s="66" t="n">
        <f aca="false">AVERAGE(C5:C7)</f>
        <v>0.0216666666666667</v>
      </c>
      <c r="D9" s="66" t="n">
        <f aca="false">AVERAGE(D5:D7)</f>
        <v>0.0246666666666667</v>
      </c>
      <c r="E9" s="66" t="n">
        <f aca="false">AVERAGE(E5:E7)</f>
        <v>0.0266666666666667</v>
      </c>
      <c r="F9" s="66" t="n">
        <f aca="false">AVERAGE(F5:F7)</f>
        <v>0.027</v>
      </c>
      <c r="G9" s="66" t="n">
        <f aca="false">AVERAGE(G5:G7)</f>
        <v>0.029</v>
      </c>
      <c r="H9" s="66" t="n">
        <f aca="false">AVERAGE(H5:H7)</f>
        <v>0.0313333333333333</v>
      </c>
      <c r="I9" s="66" t="n">
        <f aca="false">AVERAGE(I5:I7)</f>
        <v>0.0313333333333333</v>
      </c>
      <c r="J9" s="66" t="n">
        <f aca="false">AVERAGE(J5:J7)</f>
        <v>0.034</v>
      </c>
      <c r="K9" s="66" t="n">
        <f aca="false">AVERAGE(K5:K7)</f>
        <v>0.0363333333333333</v>
      </c>
      <c r="L9" s="66" t="n">
        <f aca="false">AVERAGE(L5:L7)</f>
        <v>0.0386666666666667</v>
      </c>
      <c r="M9" s="66" t="n">
        <f aca="false">AVERAGE(M5:M7)</f>
        <v>0.0416666666666667</v>
      </c>
      <c r="N9" s="66" t="n">
        <f aca="false">AVERAGE(N5:N7)</f>
        <v>0.0393333333333333</v>
      </c>
      <c r="O9" s="66" t="n">
        <f aca="false">AVERAGE(O5:O7)</f>
        <v>0.0423333333333333</v>
      </c>
      <c r="P9" s="66" t="n">
        <f aca="false">AVERAGE(P5:P7)</f>
        <v>0.0446666666666667</v>
      </c>
      <c r="Q9" s="66" t="n">
        <f aca="false">AVERAGE(Q5:Q7)</f>
        <v>0.047</v>
      </c>
      <c r="R9" s="66" t="n">
        <f aca="false">AVERAGE(R5:R7)</f>
        <v>0.045</v>
      </c>
      <c r="S9" s="66" t="n">
        <f aca="false">AVERAGE(S5:S7)</f>
        <v>0.0483333333333333</v>
      </c>
      <c r="T9" s="66" t="n">
        <f aca="false">AVERAGE(T5:T7)</f>
        <v>0.0506666666666667</v>
      </c>
      <c r="U9" s="66" t="n">
        <f aca="false">AVERAGE(U5:U7)</f>
        <v>0.052</v>
      </c>
      <c r="V9" s="66" t="n">
        <f aca="false">AVERAGE(V5:V7)</f>
        <v>0.0543333333333333</v>
      </c>
      <c r="W9" s="66" t="n">
        <f aca="false">AVERAGE(W5:W7)</f>
        <v>0.0566666666666667</v>
      </c>
      <c r="X9" s="66" t="n">
        <f aca="false">AVERAGE(X5:X7)</f>
        <v>0.0546666666666667</v>
      </c>
      <c r="Y9" s="66" t="n">
        <f aca="false">AVERAGE(Y5:Y7)</f>
        <v>0.059</v>
      </c>
    </row>
    <row r="10" customFormat="false" ht="7.5" hidden="false" customHeight="true" outlineLevel="0" collapsed="false"/>
    <row r="11" customFormat="false" ht="36" hidden="false" customHeight="true" outlineLevel="0" collapsed="false">
      <c r="A11" s="67" t="s">
        <v>170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</sheetData>
  <mergeCells count="3">
    <mergeCell ref="A1:Y1"/>
    <mergeCell ref="A2:Y2"/>
    <mergeCell ref="A11:Y11"/>
  </mergeCells>
  <conditionalFormatting sqref="B5:Y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12"/>
    <col collapsed="false" customWidth="true" hidden="false" outlineLevel="0" max="8" min="8" style="1" width="22"/>
  </cols>
  <sheetData>
    <row r="1" customFormat="false" ht="27.7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172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/>
    <row r="4" customFormat="false" ht="15" hidden="false" customHeight="true" outlineLevel="0" collapsed="false">
      <c r="A4" s="5" t="s">
        <v>173</v>
      </c>
      <c r="B4" s="5" t="s">
        <v>174</v>
      </c>
      <c r="C4" s="5" t="s">
        <v>175</v>
      </c>
      <c r="D4" s="5" t="s">
        <v>176</v>
      </c>
      <c r="E4" s="5" t="s">
        <v>177</v>
      </c>
      <c r="F4" s="5" t="s">
        <v>178</v>
      </c>
      <c r="G4" s="5" t="s">
        <v>179</v>
      </c>
      <c r="H4" s="5" t="s">
        <v>180</v>
      </c>
    </row>
    <row r="5" customFormat="false" ht="15" hidden="false" customHeight="true" outlineLevel="0" collapsed="false">
      <c r="A5" s="25" t="s">
        <v>181</v>
      </c>
      <c r="B5" s="39" t="n">
        <v>0.008</v>
      </c>
      <c r="C5" s="39" t="n">
        <v>0.021</v>
      </c>
      <c r="D5" s="39" t="n">
        <v>0.034</v>
      </c>
      <c r="E5" s="39" t="n">
        <v>0.042</v>
      </c>
      <c r="F5" s="39" t="n">
        <v>0.051</v>
      </c>
      <c r="G5" s="39" t="n">
        <v>0.058</v>
      </c>
      <c r="H5" s="32" t="s">
        <v>182</v>
      </c>
    </row>
    <row r="6" customFormat="false" ht="15" hidden="false" customHeight="true" outlineLevel="0" collapsed="false">
      <c r="A6" s="23" t="s">
        <v>183</v>
      </c>
      <c r="B6" s="40" t="n">
        <v>0.009</v>
      </c>
      <c r="C6" s="40" t="n">
        <v>0.024</v>
      </c>
      <c r="D6" s="40" t="n">
        <v>0.038</v>
      </c>
      <c r="E6" s="40" t="n">
        <v>0.047</v>
      </c>
      <c r="F6" s="40" t="n">
        <v>0.057</v>
      </c>
      <c r="G6" s="40" t="n">
        <v>0.064</v>
      </c>
      <c r="H6" s="32" t="s">
        <v>182</v>
      </c>
    </row>
    <row r="7" customFormat="false" ht="15" hidden="false" customHeight="true" outlineLevel="0" collapsed="false">
      <c r="A7" s="25" t="s">
        <v>184</v>
      </c>
      <c r="B7" s="39" t="n">
        <v>0.014</v>
      </c>
      <c r="C7" s="39" t="n">
        <v>0.035</v>
      </c>
      <c r="D7" s="39" t="n">
        <v>0.055</v>
      </c>
      <c r="E7" s="39" t="n">
        <v>0.068</v>
      </c>
      <c r="F7" s="39" t="n">
        <v>0.078</v>
      </c>
      <c r="G7" s="39" t="n">
        <v>0.083</v>
      </c>
      <c r="H7" s="37" t="s">
        <v>185</v>
      </c>
    </row>
    <row r="8" customFormat="false" ht="15" hidden="false" customHeight="true" outlineLevel="0" collapsed="false">
      <c r="A8" s="23" t="s">
        <v>186</v>
      </c>
      <c r="B8" s="40" t="n">
        <v>0.011</v>
      </c>
      <c r="C8" s="40" t="n">
        <v>0.028</v>
      </c>
      <c r="D8" s="40" t="n">
        <v>0.044</v>
      </c>
      <c r="E8" s="40" t="n">
        <v>0.055</v>
      </c>
      <c r="F8" s="40" t="n">
        <v>0.066</v>
      </c>
      <c r="G8" s="40" t="n">
        <v>0.073</v>
      </c>
      <c r="H8" s="34" t="s">
        <v>187</v>
      </c>
    </row>
    <row r="9" customFormat="false" ht="15" hidden="false" customHeight="true" outlineLevel="0" collapsed="false">
      <c r="A9" s="25" t="s">
        <v>188</v>
      </c>
      <c r="B9" s="39" t="n">
        <v>0.009</v>
      </c>
      <c r="C9" s="39" t="n">
        <v>0.023</v>
      </c>
      <c r="D9" s="39" t="n">
        <v>0.037</v>
      </c>
      <c r="E9" s="39" t="n">
        <v>0.046</v>
      </c>
      <c r="F9" s="39" t="n">
        <v>0.055</v>
      </c>
      <c r="G9" s="39" t="n">
        <v>0.061</v>
      </c>
      <c r="H9" s="32" t="s">
        <v>182</v>
      </c>
    </row>
    <row r="10" customFormat="false" ht="15" hidden="false" customHeight="true" outlineLevel="0" collapsed="false">
      <c r="A10" s="23" t="s">
        <v>189</v>
      </c>
      <c r="B10" s="40" t="n">
        <v>0.01</v>
      </c>
      <c r="C10" s="40" t="n">
        <v>0.026</v>
      </c>
      <c r="D10" s="40" t="n">
        <v>0.041</v>
      </c>
      <c r="E10" s="40" t="n">
        <v>0.051</v>
      </c>
      <c r="F10" s="40" t="n">
        <v>0.06</v>
      </c>
      <c r="G10" s="68" t="s">
        <v>35</v>
      </c>
      <c r="H10" s="34" t="s">
        <v>187</v>
      </c>
    </row>
    <row r="11" customFormat="false" ht="15" hidden="false" customHeight="true" outlineLevel="0" collapsed="false">
      <c r="A11" s="25" t="s">
        <v>190</v>
      </c>
      <c r="B11" s="39" t="n">
        <v>0.011</v>
      </c>
      <c r="C11" s="39" t="n">
        <v>0.029</v>
      </c>
      <c r="D11" s="39" t="n">
        <v>0.045</v>
      </c>
      <c r="E11" s="39" t="n">
        <v>0.056</v>
      </c>
      <c r="F11" s="33" t="s">
        <v>35</v>
      </c>
      <c r="G11" s="33" t="s">
        <v>35</v>
      </c>
      <c r="H11" s="69" t="s">
        <v>191</v>
      </c>
    </row>
    <row r="12" customFormat="false" ht="15" hidden="false" customHeight="true" outlineLevel="0" collapsed="false">
      <c r="A12" s="23" t="s">
        <v>192</v>
      </c>
      <c r="B12" s="40" t="n">
        <v>0.012</v>
      </c>
      <c r="C12" s="40" t="n">
        <v>0.031</v>
      </c>
      <c r="D12" s="40" t="n">
        <v>0.048</v>
      </c>
      <c r="E12" s="68" t="s">
        <v>35</v>
      </c>
      <c r="F12" s="68" t="s">
        <v>35</v>
      </c>
      <c r="G12" s="68" t="s">
        <v>35</v>
      </c>
      <c r="H12" s="69" t="s">
        <v>191</v>
      </c>
    </row>
    <row r="14" customFormat="false" ht="39.75" hidden="false" customHeight="true" outlineLevel="0" collapsed="false">
      <c r="A14" s="67" t="s">
        <v>193</v>
      </c>
      <c r="B14" s="67"/>
      <c r="C14" s="67"/>
      <c r="D14" s="67"/>
      <c r="E14" s="67"/>
      <c r="F14" s="67"/>
      <c r="G14" s="67"/>
      <c r="H14" s="67"/>
    </row>
    <row r="15" customFormat="false" ht="6" hidden="false" customHeight="true" outlineLevel="0" collapsed="false"/>
    <row r="16" customFormat="false" ht="15" hidden="false" customHeight="true" outlineLevel="0" collapsed="false">
      <c r="A16" s="4" t="s">
        <v>194</v>
      </c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5" t="s">
        <v>195</v>
      </c>
      <c r="B17" s="5" t="s">
        <v>174</v>
      </c>
      <c r="C17" s="5" t="s">
        <v>175</v>
      </c>
      <c r="D17" s="5" t="s">
        <v>176</v>
      </c>
      <c r="E17" s="5" t="s">
        <v>177</v>
      </c>
      <c r="F17" s="5" t="s">
        <v>178</v>
      </c>
      <c r="G17" s="5" t="s">
        <v>179</v>
      </c>
      <c r="H17" s="5" t="s">
        <v>9</v>
      </c>
    </row>
    <row r="18" customFormat="false" ht="18" hidden="false" customHeight="true" outlineLevel="0" collapsed="false">
      <c r="A18" s="25" t="s">
        <v>196</v>
      </c>
      <c r="B18" s="39" t="n">
        <f aca="false">AVERAGE(B5:B12)</f>
        <v>0.0105</v>
      </c>
      <c r="C18" s="39" t="n">
        <f aca="false">AVERAGE(C5:C12)</f>
        <v>0.027125</v>
      </c>
      <c r="D18" s="39" t="n">
        <f aca="false">AVERAGE(D5:D12)</f>
        <v>0.04275</v>
      </c>
      <c r="E18" s="39" t="n">
        <f aca="false">AVERAGE(E5:E12)</f>
        <v>0.0521428571428571</v>
      </c>
      <c r="F18" s="39" t="n">
        <f aca="false">AVERAGE(F5:F12)</f>
        <v>0.0611666666666667</v>
      </c>
      <c r="G18" s="39" t="n">
        <f aca="false">IFERROR(AVERAGE(G5:G12),"—")</f>
        <v>0.0678</v>
      </c>
      <c r="H18" s="12" t="s">
        <v>197</v>
      </c>
    </row>
    <row r="19" customFormat="false" ht="18" hidden="false" customHeight="true" outlineLevel="0" collapsed="false">
      <c r="A19" s="70" t="s">
        <v>198</v>
      </c>
      <c r="B19" s="71" t="n">
        <v>0.014</v>
      </c>
      <c r="C19" s="71" t="n">
        <v>0.035</v>
      </c>
      <c r="D19" s="71" t="n">
        <v>0.055</v>
      </c>
      <c r="E19" s="71" t="n">
        <v>0.068</v>
      </c>
      <c r="F19" s="71" t="n">
        <v>0.078</v>
      </c>
      <c r="G19" s="71" t="n">
        <v>0.083</v>
      </c>
      <c r="H19" s="72" t="s">
        <v>199</v>
      </c>
    </row>
    <row r="20" customFormat="false" ht="18" hidden="false" customHeight="true" outlineLevel="0" collapsed="false">
      <c r="A20" s="73" t="s">
        <v>200</v>
      </c>
      <c r="B20" s="74" t="n">
        <v>0.008</v>
      </c>
      <c r="C20" s="74" t="n">
        <v>0.021</v>
      </c>
      <c r="D20" s="74" t="n">
        <v>0.034</v>
      </c>
      <c r="E20" s="74" t="n">
        <v>0.042</v>
      </c>
      <c r="F20" s="74" t="n">
        <v>0.051</v>
      </c>
      <c r="G20" s="74" t="n">
        <v>0.058</v>
      </c>
      <c r="H20" s="75" t="s">
        <v>201</v>
      </c>
    </row>
  </sheetData>
  <mergeCells count="4">
    <mergeCell ref="A1:H1"/>
    <mergeCell ref="A2:H2"/>
    <mergeCell ref="A14:H14"/>
    <mergeCell ref="A16:H16"/>
  </mergeCells>
  <conditionalFormatting sqref="B5:G12">
    <cfRule type="cellIs" priority="2" operator="greaterThanOrEqual" aboveAverage="0" equalAverage="0" bottom="0" percent="0" rank="0" text="" dxfId="3">
      <formula>0.07</formula>
    </cfRule>
    <cfRule type="cellIs" priority="3" operator="between" aboveAverage="0" equalAverage="0" bottom="0" percent="0" rank="0" text="" dxfId="4">
      <formula>0.05</formula>
      <formula>0.0699</formula>
    </cfRule>
    <cfRule type="cellIs" priority="4" operator="lessThan" aboveAverage="0" equalAverage="0" bottom="0" percent="0" rank="0" text="" dxfId="5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4" min="3" style="1" width="20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202</v>
      </c>
      <c r="B1" s="2"/>
      <c r="C1" s="2"/>
      <c r="D1" s="2"/>
      <c r="E1" s="2"/>
    </row>
    <row r="2" customFormat="false" ht="15" hidden="false" customHeight="true" outlineLevel="0" collapsed="false">
      <c r="A2" s="3" t="s">
        <v>203</v>
      </c>
      <c r="B2" s="3"/>
      <c r="C2" s="3"/>
      <c r="D2" s="3"/>
      <c r="E2" s="3"/>
    </row>
    <row r="3" customFormat="false" ht="6" hidden="false" customHeight="true" outlineLevel="0" collapsed="false"/>
    <row r="4" customFormat="false" ht="18" hidden="false" customHeight="true" outlineLevel="0" collapsed="false">
      <c r="A4" s="31" t="s">
        <v>204</v>
      </c>
      <c r="B4" s="31"/>
      <c r="C4" s="31"/>
      <c r="D4" s="31"/>
      <c r="E4" s="31"/>
    </row>
    <row r="5" customFormat="false" ht="15" hidden="false" customHeight="true" outlineLevel="0" collapsed="false">
      <c r="A5" s="5" t="s">
        <v>205</v>
      </c>
      <c r="B5" s="5" t="s">
        <v>206</v>
      </c>
      <c r="C5" s="5" t="s">
        <v>207</v>
      </c>
      <c r="D5" s="5" t="s">
        <v>208</v>
      </c>
      <c r="E5" s="5" t="s">
        <v>209</v>
      </c>
    </row>
    <row r="6" customFormat="false" ht="15" hidden="false" customHeight="true" outlineLevel="0" collapsed="false">
      <c r="A6" s="25" t="s">
        <v>210</v>
      </c>
      <c r="B6" s="76" t="s">
        <v>211</v>
      </c>
      <c r="C6" s="77" t="s">
        <v>212</v>
      </c>
      <c r="D6" s="78" t="s">
        <v>213</v>
      </c>
      <c r="E6" s="12" t="s">
        <v>214</v>
      </c>
    </row>
    <row r="7" customFormat="false" ht="15" hidden="false" customHeight="true" outlineLevel="0" collapsed="false">
      <c r="A7" s="23" t="s">
        <v>215</v>
      </c>
      <c r="B7" s="79" t="s">
        <v>216</v>
      </c>
      <c r="C7" s="80" t="s">
        <v>217</v>
      </c>
      <c r="D7" s="81" t="s">
        <v>218</v>
      </c>
      <c r="E7" s="19" t="s">
        <v>219</v>
      </c>
    </row>
    <row r="8" customFormat="false" ht="15" hidden="false" customHeight="true" outlineLevel="0" collapsed="false">
      <c r="A8" s="25" t="s">
        <v>220</v>
      </c>
      <c r="B8" s="76" t="s">
        <v>221</v>
      </c>
      <c r="C8" s="77" t="s">
        <v>222</v>
      </c>
      <c r="D8" s="78" t="s">
        <v>223</v>
      </c>
      <c r="E8" s="12" t="s">
        <v>219</v>
      </c>
    </row>
    <row r="9" customFormat="false" ht="15" hidden="false" customHeight="true" outlineLevel="0" collapsed="false">
      <c r="A9" s="23" t="s">
        <v>224</v>
      </c>
      <c r="B9" s="79" t="s">
        <v>66</v>
      </c>
      <c r="C9" s="80" t="s">
        <v>225</v>
      </c>
      <c r="D9" s="81" t="s">
        <v>226</v>
      </c>
      <c r="E9" s="19" t="s">
        <v>227</v>
      </c>
    </row>
    <row r="10" customFormat="false" ht="15" hidden="false" customHeight="true" outlineLevel="0" collapsed="false">
      <c r="A10" s="25" t="s">
        <v>228</v>
      </c>
      <c r="B10" s="76" t="s">
        <v>229</v>
      </c>
      <c r="C10" s="77" t="s">
        <v>230</v>
      </c>
      <c r="D10" s="78" t="s">
        <v>231</v>
      </c>
      <c r="E10" s="12" t="s">
        <v>232</v>
      </c>
    </row>
    <row r="11" customFormat="false" ht="6" hidden="false" customHeight="true" outlineLevel="0" collapsed="false"/>
    <row r="12" customFormat="false" ht="18" hidden="false" customHeight="true" outlineLevel="0" collapsed="false">
      <c r="A12" s="31" t="s">
        <v>233</v>
      </c>
      <c r="B12" s="31"/>
      <c r="C12" s="31"/>
      <c r="D12" s="31"/>
      <c r="E12" s="31"/>
    </row>
    <row r="13" customFormat="false" ht="15" hidden="false" customHeight="true" outlineLevel="0" collapsed="false">
      <c r="A13" s="5" t="s">
        <v>234</v>
      </c>
      <c r="B13" s="5" t="s">
        <v>235</v>
      </c>
      <c r="C13" s="5" t="s">
        <v>236</v>
      </c>
      <c r="D13" s="5" t="s">
        <v>237</v>
      </c>
      <c r="E13" s="5" t="s">
        <v>238</v>
      </c>
    </row>
    <row r="14" customFormat="false" ht="15" hidden="false" customHeight="true" outlineLevel="0" collapsed="false">
      <c r="A14" s="25" t="s">
        <v>122</v>
      </c>
      <c r="B14" s="11" t="s">
        <v>239</v>
      </c>
      <c r="C14" s="82" t="s">
        <v>240</v>
      </c>
      <c r="D14" s="36" t="s">
        <v>241</v>
      </c>
      <c r="E14" s="12" t="s">
        <v>242</v>
      </c>
    </row>
    <row r="15" customFormat="false" ht="15" hidden="false" customHeight="true" outlineLevel="0" collapsed="false">
      <c r="A15" s="23" t="s">
        <v>166</v>
      </c>
      <c r="B15" s="18" t="s">
        <v>243</v>
      </c>
      <c r="C15" s="83" t="s">
        <v>244</v>
      </c>
      <c r="D15" s="84" t="s">
        <v>245</v>
      </c>
      <c r="E15" s="19" t="s">
        <v>246</v>
      </c>
    </row>
    <row r="16" customFormat="false" ht="15" hidden="false" customHeight="true" outlineLevel="0" collapsed="false">
      <c r="A16" s="25" t="s">
        <v>167</v>
      </c>
      <c r="B16" s="11" t="s">
        <v>247</v>
      </c>
      <c r="C16" s="82" t="s">
        <v>248</v>
      </c>
      <c r="D16" s="36" t="s">
        <v>249</v>
      </c>
      <c r="E16" s="12" t="s">
        <v>250</v>
      </c>
    </row>
    <row r="17" customFormat="false" ht="6" hidden="false" customHeight="true" outlineLevel="0" collapsed="false"/>
    <row r="18" customFormat="false" ht="18" hidden="false" customHeight="true" outlineLevel="0" collapsed="false">
      <c r="A18" s="4" t="s">
        <v>251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234</v>
      </c>
      <c r="B19" s="5" t="s">
        <v>252</v>
      </c>
      <c r="C19" s="5" t="s">
        <v>253</v>
      </c>
      <c r="D19" s="5" t="s">
        <v>254</v>
      </c>
      <c r="E19" s="5" t="s">
        <v>255</v>
      </c>
    </row>
    <row r="20" customFormat="false" ht="15" hidden="false" customHeight="true" outlineLevel="0" collapsed="false">
      <c r="A20" s="25" t="s">
        <v>122</v>
      </c>
      <c r="B20" s="85" t="n">
        <v>125</v>
      </c>
      <c r="C20" s="85" t="n">
        <f aca="false">B20*0.068*0.45</f>
        <v>3.825</v>
      </c>
      <c r="D20" s="85" t="n">
        <f aca="false">B20*0.068*0.45*1.45</f>
        <v>5.54625</v>
      </c>
      <c r="E20" s="85" t="n">
        <f aca="false">B20*0.068*0.45*2.1</f>
        <v>8.0325</v>
      </c>
    </row>
    <row r="21" customFormat="false" ht="15" hidden="false" customHeight="true" outlineLevel="0" collapsed="false">
      <c r="A21" s="23" t="s">
        <v>166</v>
      </c>
      <c r="B21" s="86" t="n">
        <v>98</v>
      </c>
      <c r="C21" s="86" t="n">
        <f aca="false">B21*0.092*0.75</f>
        <v>6.762</v>
      </c>
      <c r="D21" s="86" t="n">
        <f aca="false">B21*0.092*0.75*1.55</f>
        <v>10.4811</v>
      </c>
      <c r="E21" s="86" t="n">
        <f aca="false">B21*0.092*0.75*2.35</f>
        <v>15.8907</v>
      </c>
    </row>
    <row r="22" customFormat="false" ht="15" hidden="false" customHeight="true" outlineLevel="0" collapsed="false">
      <c r="A22" s="25" t="s">
        <v>167</v>
      </c>
      <c r="B22" s="85" t="n">
        <v>117</v>
      </c>
      <c r="C22" s="85" t="n">
        <f aca="false">B22*0.054*0.35</f>
        <v>2.2113</v>
      </c>
      <c r="D22" s="85" t="n">
        <f aca="false">B22*0.054*0.35*1.35</f>
        <v>2.985255</v>
      </c>
      <c r="E22" s="85" t="n">
        <f aca="false">B22*0.054*0.35*1.85</f>
        <v>4.090905</v>
      </c>
    </row>
    <row r="23" customFormat="false" ht="15" hidden="false" customHeight="true" outlineLevel="0" collapsed="false">
      <c r="A23" s="4" t="s">
        <v>256</v>
      </c>
      <c r="B23" s="87" t="n">
        <f aca="false">SUM(B20:B22)</f>
        <v>340</v>
      </c>
      <c r="C23" s="87" t="n">
        <f aca="false">SUM(C20:C22)</f>
        <v>12.7983</v>
      </c>
      <c r="D23" s="87" t="n">
        <f aca="false">SUM(D20:D22)</f>
        <v>19.012605</v>
      </c>
      <c r="E23" s="87" t="n">
        <f aca="false">SUM(E20:E22)</f>
        <v>28.014105</v>
      </c>
    </row>
    <row r="24" customFormat="false" ht="6" hidden="false" customHeight="true" outlineLevel="0" collapsed="false"/>
    <row r="25" customFormat="false" ht="18" hidden="false" customHeight="true" outlineLevel="0" collapsed="false">
      <c r="A25" s="4" t="s">
        <v>257</v>
      </c>
      <c r="B25" s="4"/>
      <c r="C25" s="4"/>
      <c r="D25" s="4"/>
      <c r="E25" s="4"/>
    </row>
    <row r="26" customFormat="false" ht="15" hidden="false" customHeight="true" outlineLevel="0" collapsed="false">
      <c r="A26" s="25" t="s">
        <v>258</v>
      </c>
      <c r="B26" s="88"/>
      <c r="C26" s="43" t="n">
        <f aca="false">C23*0.08</f>
        <v>1.023864</v>
      </c>
      <c r="D26" s="43"/>
      <c r="E26" s="43"/>
    </row>
    <row r="27" customFormat="false" ht="15" hidden="false" customHeight="true" outlineLevel="0" collapsed="false">
      <c r="A27" s="23" t="s">
        <v>259</v>
      </c>
      <c r="B27" s="88"/>
      <c r="C27" s="45" t="n">
        <f aca="false">D23*0.08</f>
        <v>1.5210084</v>
      </c>
      <c r="D27" s="45"/>
      <c r="E27" s="45"/>
    </row>
    <row r="28" customFormat="false" ht="15" hidden="false" customHeight="true" outlineLevel="0" collapsed="false">
      <c r="A28" s="25" t="s">
        <v>260</v>
      </c>
      <c r="B28" s="88"/>
      <c r="C28" s="43" t="n">
        <f aca="false">E23*0.08</f>
        <v>2.2411284</v>
      </c>
      <c r="D28" s="43"/>
      <c r="E28" s="43"/>
    </row>
    <row r="29" customFormat="false" ht="15" hidden="false" customHeight="true" outlineLevel="0" collapsed="false">
      <c r="A29" s="23" t="s">
        <v>261</v>
      </c>
      <c r="B29" s="89"/>
      <c r="C29" s="45" t="n">
        <f aca="false">C28-C26</f>
        <v>1.2172644</v>
      </c>
      <c r="D29" s="45"/>
      <c r="E29" s="45"/>
    </row>
    <row r="30" customFormat="false" ht="6" hidden="false" customHeight="true" outlineLevel="0" collapsed="false"/>
    <row r="31" customFormat="false" ht="15" hidden="false" customHeight="true" outlineLevel="0" collapsed="false">
      <c r="A31" s="4" t="s">
        <v>262</v>
      </c>
      <c r="B31" s="4"/>
      <c r="C31" s="4"/>
      <c r="D31" s="4"/>
      <c r="E31" s="4"/>
    </row>
    <row r="32" customFormat="false" ht="18" hidden="false" customHeight="true" outlineLevel="0" collapsed="false">
      <c r="A32" s="25" t="s">
        <v>263</v>
      </c>
      <c r="B32" s="90" t="n">
        <f aca="false">C23</f>
        <v>12.7983</v>
      </c>
      <c r="C32" s="90" t="s">
        <v>35</v>
      </c>
      <c r="D32" s="91" t="s">
        <v>35</v>
      </c>
      <c r="E32" s="92" t="s">
        <v>264</v>
      </c>
    </row>
    <row r="33" customFormat="false" ht="18" hidden="false" customHeight="true" outlineLevel="0" collapsed="false">
      <c r="A33" s="23" t="s">
        <v>265</v>
      </c>
      <c r="B33" s="93" t="n">
        <f aca="false">D23</f>
        <v>19.012605</v>
      </c>
      <c r="C33" s="93" t="n">
        <f aca="false">D23-C23</f>
        <v>6.214305</v>
      </c>
      <c r="D33" s="94" t="n">
        <f aca="false">(D23-C23)/C23</f>
        <v>0.485557066172851</v>
      </c>
      <c r="E33" s="95" t="s">
        <v>266</v>
      </c>
    </row>
    <row r="34" customFormat="false" ht="18" hidden="false" customHeight="true" outlineLevel="0" collapsed="false">
      <c r="A34" s="25" t="s">
        <v>267</v>
      </c>
      <c r="B34" s="90" t="n">
        <f aca="false">E23</f>
        <v>28.014105</v>
      </c>
      <c r="C34" s="90" t="n">
        <f aca="false">E23-C23</f>
        <v>15.215805</v>
      </c>
      <c r="D34" s="91" t="n">
        <f aca="false">(E23-C23)/C23</f>
        <v>1.18889266543213</v>
      </c>
      <c r="E34" s="92" t="s">
        <v>266</v>
      </c>
    </row>
    <row r="35" customFormat="false" ht="36" hidden="false" customHeight="true" outlineLevel="0" collapsed="false">
      <c r="A35" s="67" t="s">
        <v>268</v>
      </c>
      <c r="B35" s="67"/>
      <c r="C35" s="67"/>
      <c r="D35" s="67"/>
      <c r="E35" s="67"/>
    </row>
  </sheetData>
  <mergeCells count="8">
    <mergeCell ref="A1:E1"/>
    <mergeCell ref="A2:E2"/>
    <mergeCell ref="A4:E4"/>
    <mergeCell ref="A12:E12"/>
    <mergeCell ref="A18:E18"/>
    <mergeCell ref="A25:E25"/>
    <mergeCell ref="A31:E31"/>
    <mergeCell ref="A35:E35"/>
  </mergeCells>
  <conditionalFormatting sqref="D34">
    <cfRule type="cellIs" priority="2" operator="greaterThan" aboveAverage="0" equalAverage="0" bottom="0" percent="0" rank="0" text="" dxfId="2">
      <formula>0.3</formula>
    </cfRule>
  </conditionalFormatting>
  <conditionalFormatting sqref="D33"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8"/>
  </cols>
  <sheetData>
    <row r="1" customFormat="false" ht="27.75" hidden="false" customHeight="true" outlineLevel="0" collapsed="false">
      <c r="A1" s="2" t="s">
        <v>269</v>
      </c>
      <c r="B1" s="2"/>
      <c r="C1" s="2"/>
      <c r="D1" s="2"/>
    </row>
    <row r="2" customFormat="false" ht="15" hidden="false" customHeight="true" outlineLevel="0" collapsed="false">
      <c r="A2" s="3" t="s">
        <v>270</v>
      </c>
      <c r="B2" s="3"/>
      <c r="C2" s="3"/>
      <c r="D2" s="3"/>
    </row>
    <row r="4" customFormat="false" ht="15" hidden="false" customHeight="true" outlineLevel="0" collapsed="false">
      <c r="A4" s="23" t="s">
        <v>271</v>
      </c>
      <c r="B4" s="13" t="s">
        <v>272</v>
      </c>
    </row>
    <row r="5" customFormat="false" ht="15" hidden="false" customHeight="true" outlineLevel="0" collapsed="false">
      <c r="A5" s="23" t="s">
        <v>273</v>
      </c>
      <c r="B5" s="13" t="s">
        <v>274</v>
      </c>
    </row>
    <row r="6" customFormat="false" ht="15" hidden="false" customHeight="true" outlineLevel="0" collapsed="false">
      <c r="A6" s="23" t="s">
        <v>275</v>
      </c>
      <c r="B6" s="13" t="s">
        <v>276</v>
      </c>
    </row>
    <row r="7" customFormat="false" ht="6" hidden="false" customHeight="true" outlineLevel="0" collapsed="false"/>
    <row r="8" customFormat="false" ht="18" hidden="false" customHeight="true" outlineLevel="0" collapsed="false">
      <c r="A8" s="31" t="s">
        <v>277</v>
      </c>
      <c r="B8" s="31"/>
      <c r="C8" s="31"/>
      <c r="D8" s="31"/>
    </row>
    <row r="9" customFormat="false" ht="15" hidden="false" customHeight="true" outlineLevel="0" collapsed="false">
      <c r="A9" s="5" t="s">
        <v>195</v>
      </c>
      <c r="B9" s="5" t="s">
        <v>278</v>
      </c>
      <c r="C9" s="5" t="s">
        <v>279</v>
      </c>
      <c r="D9" s="5" t="s">
        <v>280</v>
      </c>
    </row>
    <row r="10" customFormat="false" ht="15" hidden="false" customHeight="true" outlineLevel="0" collapsed="false">
      <c r="A10" s="25" t="s">
        <v>281</v>
      </c>
      <c r="B10" s="96" t="n">
        <v>340000000</v>
      </c>
      <c r="C10" s="96" t="n">
        <v>328000000</v>
      </c>
      <c r="D10" s="97" t="n">
        <f aca="false">B10-C10</f>
        <v>12000000</v>
      </c>
    </row>
    <row r="11" customFormat="false" ht="15" hidden="false" customHeight="true" outlineLevel="0" collapsed="false">
      <c r="A11" s="23" t="s">
        <v>282</v>
      </c>
      <c r="B11" s="98" t="n">
        <v>5000</v>
      </c>
      <c r="C11" s="98" t="n">
        <v>4820</v>
      </c>
      <c r="D11" s="98" t="n">
        <f aca="false">B11-C11</f>
        <v>180</v>
      </c>
    </row>
    <row r="12" customFormat="false" ht="15" hidden="false" customHeight="true" outlineLevel="0" collapsed="false">
      <c r="A12" s="25" t="s">
        <v>283</v>
      </c>
      <c r="B12" s="99" t="n">
        <v>0.684</v>
      </c>
      <c r="C12" s="99" t="n">
        <v>0.712</v>
      </c>
      <c r="D12" s="99" t="n">
        <f aca="false">B12-C12</f>
        <v>-0.0279999999999999</v>
      </c>
    </row>
    <row r="13" customFormat="false" ht="15" hidden="false" customHeight="true" outlineLevel="0" collapsed="false">
      <c r="A13" s="23" t="s">
        <v>284</v>
      </c>
      <c r="B13" s="98" t="n">
        <v>682</v>
      </c>
      <c r="C13" s="98" t="n">
        <v>688</v>
      </c>
      <c r="D13" s="98" t="n">
        <f aca="false">B13-C13</f>
        <v>-6</v>
      </c>
    </row>
    <row r="14" customFormat="false" ht="15" hidden="false" customHeight="true" outlineLevel="0" collapsed="false">
      <c r="A14" s="25" t="s">
        <v>285</v>
      </c>
      <c r="B14" s="99" t="n">
        <v>0.058</v>
      </c>
      <c r="C14" s="99" t="n">
        <v>0.049</v>
      </c>
      <c r="D14" s="99" t="n">
        <f aca="false">B14-C14</f>
        <v>0.009</v>
      </c>
    </row>
    <row r="15" customFormat="false" ht="15" hidden="false" customHeight="true" outlineLevel="0" collapsed="false">
      <c r="A15" s="23" t="s">
        <v>286</v>
      </c>
      <c r="B15" s="100" t="n">
        <v>0.021</v>
      </c>
      <c r="C15" s="100" t="n">
        <v>0.017</v>
      </c>
      <c r="D15" s="100" t="n">
        <f aca="false">B15-C15</f>
        <v>0.004</v>
      </c>
    </row>
    <row r="16" customFormat="false" ht="15" hidden="false" customHeight="true" outlineLevel="0" collapsed="false">
      <c r="A16" s="25" t="s">
        <v>287</v>
      </c>
      <c r="B16" s="99" t="n">
        <v>0.019</v>
      </c>
      <c r="C16" s="99" t="n">
        <v>0.014</v>
      </c>
      <c r="D16" s="99" t="n">
        <f aca="false">B16-C16</f>
        <v>0.005</v>
      </c>
    </row>
    <row r="17" customFormat="false" ht="15" hidden="false" customHeight="true" outlineLevel="0" collapsed="false">
      <c r="A17" s="23" t="s">
        <v>288</v>
      </c>
      <c r="B17" s="101" t="n">
        <v>12384000</v>
      </c>
      <c r="C17" s="101" t="n">
        <v>10820000</v>
      </c>
      <c r="D17" s="102" t="n">
        <f aca="false">B17-C17</f>
        <v>1564000</v>
      </c>
    </row>
    <row r="18" customFormat="false" ht="15" hidden="false" customHeight="true" outlineLevel="0" collapsed="false">
      <c r="A18" s="25" t="s">
        <v>289</v>
      </c>
      <c r="B18" s="96" t="n">
        <v>18231000</v>
      </c>
      <c r="C18" s="96" t="n">
        <v>15400000</v>
      </c>
      <c r="D18" s="97" t="n">
        <f aca="false">B18-C18</f>
        <v>2831000</v>
      </c>
    </row>
    <row r="19" customFormat="false" ht="15" hidden="false" customHeight="true" outlineLevel="0" collapsed="false">
      <c r="A19" s="23" t="s">
        <v>290</v>
      </c>
      <c r="B19" s="100" t="n">
        <v>0.083</v>
      </c>
      <c r="C19" s="100" t="n">
        <v>0.058</v>
      </c>
      <c r="D19" s="100" t="n">
        <f aca="false">B19-C19</f>
        <v>0.025</v>
      </c>
    </row>
    <row r="21" customFormat="false" ht="30" hidden="false" customHeight="true" outlineLevel="0" collapsed="false">
      <c r="A21" s="38" t="s">
        <v>291</v>
      </c>
      <c r="B21" s="38"/>
      <c r="C21" s="38"/>
      <c r="D21" s="38"/>
    </row>
    <row r="22" customFormat="false" ht="18" hidden="false" customHeight="true" outlineLevel="0" collapsed="false">
      <c r="A22" s="4" t="s">
        <v>292</v>
      </c>
      <c r="B22" s="4"/>
      <c r="C22" s="4"/>
      <c r="D22" s="4"/>
    </row>
    <row r="23" customFormat="false" ht="19.5" hidden="false" customHeight="true" outlineLevel="0" collapsed="false">
      <c r="A23" s="23" t="s">
        <v>293</v>
      </c>
      <c r="B23" s="103" t="s">
        <v>294</v>
      </c>
      <c r="C23" s="103"/>
      <c r="D23" s="103"/>
    </row>
    <row r="24" customFormat="false" ht="30" hidden="false" customHeight="true" outlineLevel="0" collapsed="false">
      <c r="A24" s="25" t="s">
        <v>295</v>
      </c>
      <c r="B24" s="104" t="s">
        <v>296</v>
      </c>
      <c r="C24" s="104"/>
      <c r="D24" s="104"/>
    </row>
    <row r="25" customFormat="false" ht="30" hidden="false" customHeight="true" outlineLevel="0" collapsed="false">
      <c r="A25" s="23" t="s">
        <v>297</v>
      </c>
      <c r="B25" s="105" t="s">
        <v>298</v>
      </c>
      <c r="C25" s="105"/>
      <c r="D25" s="105"/>
    </row>
    <row r="26" customFormat="false" ht="19.5" hidden="false" customHeight="true" outlineLevel="0" collapsed="false">
      <c r="A26" s="25" t="s">
        <v>299</v>
      </c>
      <c r="B26" s="106" t="s">
        <v>300</v>
      </c>
      <c r="C26" s="106"/>
      <c r="D26" s="106"/>
    </row>
  </sheetData>
  <mergeCells count="9">
    <mergeCell ref="A1:D1"/>
    <mergeCell ref="A2:D2"/>
    <mergeCell ref="A8:D8"/>
    <mergeCell ref="A21:D21"/>
    <mergeCell ref="A22:D22"/>
    <mergeCell ref="B23:D23"/>
    <mergeCell ref="B24:D24"/>
    <mergeCell ref="B25:D25"/>
    <mergeCell ref="B26:D26"/>
  </mergeCells>
  <conditionalFormatting sqref="B15:D15">
    <cfRule type="cellIs" priority="2" operator="greaterThan" aboveAverage="0" equalAverage="0" bottom="0" percent="0" rank="0" text="" dxfId="3">
      <formula>0.05</formula>
    </cfRule>
  </conditionalFormatting>
  <conditionalFormatting sqref="B17:D17">
    <cfRule type="cellIs" priority="3" operator="greaterThan" aboveAverage="0" equalAverage="0" bottom="0" percent="0" rank="0" text="" dxfId="3">
      <formula>0.015</formula>
    </cfRule>
  </conditionalFormatting>
  <conditionalFormatting sqref="B20:D20">
    <cfRule type="cellIs" priority="4" operator="greaterThan" aboveAverage="0" equalAverage="0" bottom="0" percent="0" rank="0" text="" dxfId="3">
      <formula>0.07</formula>
    </cfRule>
  </conditionalFormatting>
  <conditionalFormatting sqref="D10:D19">
    <cfRule type="expression" priority="5" aboveAverage="0" equalAverage="0" bottom="0" percent="0" rank="0" text="" dxfId="3">
      <formula>D10&gt;0</formula>
    </cfRule>
  </conditionalFormatting>
  <conditionalFormatting sqref="D12">
    <cfRule type="expression" priority="6" aboveAverage="0" equalAverage="0" bottom="0" percent="0" rank="0" text="" dxfId="3">
      <formula>D12&lt;0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2026-07-05T13:01:53Z</dcterms:created>
  <dc:creator>openpyxl</dc:creator>
  <dc:description/>
  <dc:language>en-US</dc:language>
  <cp:lastModifiedBy/>
  <dcterms:modified xsi:type="dcterms:W3CDTF">2026-07-05T13:22:15Z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